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78a81cb87b407d" /></Relationships>
</file>

<file path=xl/workbook.xml><?xml version="1.0" encoding="utf-8"?>
<x:workbook xmlns:x="http://schemas.openxmlformats.org/spreadsheetml/2006/main">
  <x:sheets>
    <x:sheet xmlns:r="http://schemas.openxmlformats.org/officeDocument/2006/relationships" name="Overview" sheetId="1" r:id="Rb479f4b2d38742fa"/>
    <x:sheet xmlns:r="http://schemas.openxmlformats.org/officeDocument/2006/relationships" name="Test cases" sheetId="2" r:id="R079b597632eb490c"/>
    <x:sheet xmlns:r="http://schemas.openxmlformats.org/officeDocument/2006/relationships" name="RTL map" sheetId="3" r:id="R72e9124b514c461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20">
    <x:font>
      <x:sz val="11"/>
      <x:name val="Carlito"/>
    </x:font>
    <x:font>
      <x:sz val="11"/>
      <x:color rgb="FF193448"/>
      <x:name val="Aptos"/>
    </x:font>
    <x:font>
      <x:b/>
      <x:sz val="24"/>
      <x:color rgb="FF193448"/>
      <x:name val="Aptos"/>
    </x:font>
    <x:font>
      <x:sz val="11"/>
      <x:color rgb="FF526674"/>
      <x:name val="Aptos"/>
    </x:font>
    <x:font>
      <x:b/>
      <x:sz val="19"/>
      <x:color rgb="FF193448"/>
      <x:name val="Aptos"/>
    </x:font>
    <x:font>
      <x:b/>
      <x:sz val="10"/>
      <x:color rgb="FF146C78"/>
      <x:name val="Aptos"/>
    </x:font>
    <x:font>
      <x:b/>
      <x:sz val="11"/>
      <x:color rgb="FFFFFFFF"/>
      <x:name val="Aptos"/>
    </x:font>
    <x:font>
      <x:sz val="11"/>
      <x:color rgb="FF1A4E91"/>
      <x:name val="Aptos"/>
    </x:font>
    <x:font>
      <x:b/>
      <x:sz val="11"/>
      <x:color rgb="FF825900"/>
      <x:name val="Aptos"/>
    </x:font>
    <x:font>
      <x:b/>
      <x:sz val="11"/>
      <x:color rgb="FFA34D00"/>
      <x:name val="Aptos"/>
    </x:font>
    <x:font>
      <x:b/>
      <x:sz val="11"/>
      <x:color rgb="FF6842A0"/>
      <x:name val="Aptos"/>
    </x:font>
    <x:font>
      <x:sz val="11"/>
      <x:color rgb="FF146C78"/>
      <x:name val="Aptos"/>
    </x:font>
    <x:font>
      <x:b/>
      <x:sz val="11"/>
      <x:color rgb="FF146C78"/>
      <x:name val="Aptos"/>
    </x:font>
    <x:font>
      <x:b/>
      <x:sz val="11"/>
      <x:color rgb="FF193448"/>
      <x:name val="Aptos"/>
    </x:font>
    <x:font>
      <x:sz val="10"/>
      <x:color rgb="FF526674"/>
      <x:name val="Aptos"/>
    </x:font>
    <x:font>
      <x:sz val="11"/>
      <x:color rgb="FF193448"/>
      <x:name val="Aptos"/>
    </x:font>
    <x:font>
      <x:b/>
      <x:sz val="11"/>
      <x:color rgb="FF184FA0"/>
      <x:name val="Aptos"/>
    </x:font>
    <x:font>
      <x:b/>
      <x:sz val="11"/>
      <x:color rgb="FF176B39"/>
      <x:name val="Aptos"/>
    </x:font>
    <x:font>
      <x:b/>
      <x:sz val="11"/>
      <x:color rgb="FFAD2727"/>
      <x:name val="Aptos"/>
    </x:font>
    <x:font>
      <x:b/>
      <x:sz val="11"/>
      <x:color rgb="FF596874"/>
      <x:name val="Aptos"/>
    </x:font>
  </x:fonts>
  <x:fills count="13">
    <x:fill>
      <x:patternFill patternType="none"/>
    </x:fill>
    <x:fill>
      <x:patternFill patternType="gray125"/>
    </x:fill>
    <x:fill>
      <x:patternFill patternType="solid">
        <x:fgColor rgb="FFFFFFFF"/>
      </x:patternFill>
    </x:fill>
    <x:fill>
      <x:patternFill patternType="solid">
        <x:fgColor rgb="FF193448"/>
      </x:patternFill>
    </x:fill>
    <x:fill>
      <x:patternFill patternType="solid">
        <x:fgColor rgb="FFF4F8FA"/>
      </x:patternFill>
    </x:fill>
    <x:fill>
      <x:patternFill patternType="solid">
        <x:fgColor rgb="FFFFF8DF"/>
      </x:patternFill>
    </x:fill>
    <x:fill>
      <x:patternFill patternType="solid">
        <x:fgColor rgb="FFFFF1CA"/>
      </x:patternFill>
    </x:fill>
    <x:fill>
      <x:patternFill patternType="solid">
        <x:fgColor rgb="FFEDE3FB"/>
      </x:patternFill>
    </x:fill>
    <x:fill>
      <x:patternFill patternType="solid">
        <x:fgColor rgb="FFDFEDF0"/>
      </x:patternFill>
    </x:fill>
    <x:fill>
      <x:patternFill patternType="solid">
        <x:fgColor rgb="FFDCEBFF"/>
      </x:patternFill>
    </x:fill>
    <x:fill>
      <x:patternFill patternType="solid">
        <x:fgColor rgb="FFDCF3E3"/>
      </x:patternFill>
    </x:fill>
    <x:fill>
      <x:patternFill patternType="solid">
        <x:fgColor rgb="FFFDE1DF"/>
      </x:patternFill>
    </x:fill>
    <x:fill>
      <x:patternFill patternType="solid">
        <x:fgColor rgb="FFE8ECEF"/>
      </x:patternFill>
    </x:fill>
  </x:fills>
  <x:borders count="1">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5"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1" fillId="4" borderId="0" xfId="0" applyNumberFormat="1" applyFont="1" applyFill="1" applyBorder="1" applyAlignment="1">
      <x:alignment vertical="top" wrapText="1"/>
    </x:xf>
    <x:xf numFmtId="0" fontId="12" fillId="2" borderId="0" xfId="0" applyNumberFormat="1" applyFont="1" applyFill="1" applyBorder="1" applyAlignment="1">
      <x:alignment vertical="top" wrapText="1"/>
    </x:xf>
    <x:xf numFmtId="0" fontId="12" fillId="2" borderId="0" xfId="0" applyNumberFormat="1" applyFont="1" applyFill="1" applyBorder="1" applyAlignment="1">
      <x:alignment vertical="center" wrapText="1"/>
    </x:xf>
    <x:xf numFmtId="0" fontId="1" fillId="8" borderId="0" xfId="0" applyNumberFormat="1" applyFont="1" applyFill="1" applyBorder="1" applyAlignment="1">
      <x:alignment vertical="top" wrapText="1"/>
    </x:xf>
    <x:xf numFmtId="0" fontId="13" fillId="8"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1" fontId="13" fillId="8"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2" fontId="13" fillId="8"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2" fontId="1" fillId="2" borderId="0" xfId="0" applyNumberFormat="1" applyFont="1" applyFill="1" applyBorder="1" applyAlignment="1">
      <x:alignment horizontal="center" vertical="top" wrapText="1"/>
    </x:xf>
    <x:xf numFmtId="201" fontId="1" fillId="4" borderId="0" xfId="0" applyNumberFormat="1" applyFont="1" applyFill="1" applyBorder="1" applyAlignment="1">
      <x:alignment horizontal="center" vertical="top" wrapText="1"/>
    </x:xf>
    <x:xf numFmtId="202" fontId="1" fillId="4" borderId="0" xfId="0" applyNumberFormat="1" applyFont="1" applyFill="1" applyBorder="1" applyAlignment="1">
      <x:alignment horizontal="center" vertical="top" wrapText="1"/>
    </x:xf>
    <x:xf numFmtId="201" fontId="13" fillId="8" borderId="0" xfId="0" applyNumberFormat="1" applyFont="1" applyFill="1" applyBorder="1" applyAlignment="1">
      <x:alignment horizontal="center" vertical="top" wrapText="1"/>
    </x:xf>
    <x:xf numFmtId="202" fontId="13" fillId="8" borderId="0" xfId="0" applyNumberFormat="1" applyFont="1" applyFill="1" applyBorder="1" applyAlignment="1">
      <x:alignment horizontal="center" vertical="top" wrapText="1"/>
    </x:xf>
    <x:xf numFmtId="0" fontId="14" fillId="2" borderId="0" xfId="0" applyNumberFormat="1" applyFont="1" applyFill="1" applyBorder="1" applyAlignment="1">
      <x:alignment vertical="top" wrapText="1"/>
    </x:xf>
    <x:xf numFmtId="0" fontId="14" fillId="2" borderId="0" xfId="0" applyNumberFormat="1" applyFont="1" applyFill="1" applyBorder="1" applyAlignment="1">
      <x:alignment vertical="center" wrapText="1"/>
    </x:xf>
    <x:xf numFmtId="0" fontId="15" fillId="2" borderId="0" xfId="0" applyNumberFormat="1" applyFont="1" applyFill="1" applyBorder="1" applyAlignment="1">
      <x:alignment vertical="top" wrapText="1"/>
    </x:xf>
    <x:xf numFmtId="0" fontId="15" fillId="2" borderId="0" xfId="0" applyNumberFormat="1" applyFont="1" applyFill="1" applyBorder="1" applyAlignment="1">
      <x:alignment vertical="center" wrapText="1"/>
    </x:xf>
    <x:xf numFmtId="0" fontId="1" fillId="9" borderId="0" xfId="0" applyNumberFormat="1" applyFont="1" applyFill="1" applyBorder="1" applyAlignment="1">
      <x:alignment vertical="top" wrapText="1"/>
    </x:xf>
    <x:xf numFmtId="0" fontId="16"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19" fillId="12" borderId="0" xfId="0" applyNumberFormat="1" applyFont="1" applyFill="1" applyBorder="1" applyAlignment="1">
      <x:alignment vertical="top" wrapText="1"/>
    </x:xf>
  </x:cellXfs>
  <x:cellStyles count="1">
    <x:cellStyle name="Normal" xfId="0"/>
  </x:cellStyles>
  <x:dxfs count="9">
    <x:dxf>
      <x:font>
        <x:b/>
        <x:color rgb="FF825900"/>
      </x:font>
      <x:fill>
        <x:patternFill patternType="solid">
          <x:bgColor rgb="FFFFF1CA"/>
        </x:patternFill>
      </x:fill>
    </x:dxf>
    <x:dxf>
      <x:font>
        <x:b/>
        <x:color rgb="FF184FA0"/>
      </x:font>
      <x:fill>
        <x:patternFill patternType="solid">
          <x:bgColor rgb="FFDCEBFF"/>
        </x:patternFill>
      </x:fill>
    </x:dxf>
    <x:dxf>
      <x:font>
        <x:b/>
        <x:color rgb="FF176B39"/>
      </x:font>
      <x:fill>
        <x:patternFill patternType="solid">
          <x:bgColor rgb="FFDCF3E3"/>
        </x:patternFill>
      </x:fill>
    </x:dxf>
    <x:dxf>
      <x:font>
        <x:b/>
        <x:color rgb="FFAD2727"/>
      </x:font>
      <x:fill>
        <x:patternFill patternType="solid">
          <x:bgColor rgb="FFFDE1DF"/>
        </x:patternFill>
      </x:fill>
    </x:dxf>
    <x:dxf>
      <x:font>
        <x:b/>
        <x:color rgb="FF6842A0"/>
      </x:font>
      <x:fill>
        <x:patternFill patternType="solid">
          <x:bgColor rgb="FFEDE3FB"/>
        </x:patternFill>
      </x:fill>
    </x:dxf>
    <x:dxf>
      <x:font>
        <x:b/>
        <x:color rgb="FF596874"/>
      </x:font>
      <x:fill>
        <x:patternFill patternType="solid">
          <x:bgColor rgb="FFE8ECEF"/>
        </x:patternFill>
      </x:fill>
    </x:dxf>
    <x:dxf>
      <x:font>
        <x:b/>
        <x:color rgb="FFA34D00"/>
      </x:font>
    </x:dxf>
    <x:dxf>
      <x:font>
        <x:b/>
        <x:color rgb="FFAD2727"/>
      </x:font>
      <x:fill>
        <x:patternFill patternType="solid">
          <x:bgColor rgb="FFFDE1DF"/>
        </x:patternFill>
      </x:fill>
    </x:dxf>
    <x:dxf>
      <x:font>
        <x:b/>
        <x:color rgb="FFAD2727"/>
      </x:font>
      <x:fill>
        <x:patternFill patternType="solid">
          <x:bgColor rgb="FFFDE1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a37db6724f43c5" /><Relationship Type="http://schemas.openxmlformats.org/officeDocument/2006/relationships/theme" Target="/xl/theme/theme1.xml" Id="R1f27b6fdd4e4467e" /><Relationship Type="http://schemas.openxmlformats.org/officeDocument/2006/relationships/sharedStrings" Target="/xl/sharedStrings.xml" Id="R08c74525edd041ac" /><Relationship Type="http://schemas.openxmlformats.org/officeDocument/2006/relationships/worksheet" Target="/xl/worksheets/sheet1.xml" Id="Rb479f4b2d38742fa" /><Relationship Type="http://schemas.openxmlformats.org/officeDocument/2006/relationships/worksheet" Target="/xl/worksheets/sheet2.xml" Id="R079b597632eb490c" /><Relationship Type="http://schemas.openxmlformats.org/officeDocument/2006/relationships/worksheet" Target="/xl/worksheets/sheet3.xml" Id="R72e9124b514c4616" /></Relationships>
</file>

<file path=xl/tables/table1.xml><?xml version="1.0" encoding="utf-8"?>
<x:table xmlns:x="http://schemas.openxmlformats.org/spreadsheetml/2006/main" id="1" name="VerificationCases" displayName="VerificationCases" ref="A7:Q651" headerRowCount="1" totalsRowCount="0" totalsRowShown="0">
  <x:autoFilter ref="A7:Q651"/>
  <x:tableColumns count="17">
    <x:tableColumn id="1" name="Case ID"/>
    <x:tableColumn id="2" name="Status"/>
    <x:tableColumn id="3" name="Priority"/>
    <x:tableColumn id="4" name="Repository"/>
    <x:tableColumn id="5" name="Block"/>
    <x:tableColumn id="6" name="Test case"/>
    <x:tableColumn id="7" name="Signals"/>
    <x:tableColumn id="8" name="Test idea / stimulus"/>
    <x:tableColumn id="9" name="Expected result / timing"/>
    <x:tableColumn id="10" name="Actual result + evidence"/>
    <x:tableColumn id="11" name="Run date"/>
    <x:tableColumn id="12" name="Setup / parameters / seed / tested commit"/>
    <x:tableColumn id="13" name="Notes / blocker / N/A reason"/>
    <x:tableColumn id="14" name="RTL file(s)"/>
    <x:tableColumn id="15" name="Reviewed source URL (copy)"/>
    <x:tableColumn id="16" name="Run record check"/>
    <x:tableColumn id="17" name="Reviewed commit"/>
  </x:tableColumns>
  <x:tableStyleInfo name="TableStyleMedium2" showFirstColumn="0" showLastColumn="0" showRowStripes="1" showColumnStripes="0"/>
</x:table>
</file>

<file path=xl/tables/table2.xml><?xml version="1.0" encoding="utf-8"?>
<x:table xmlns:x="http://schemas.openxmlformats.org/spreadsheetml/2006/main" id="2" name="ReviewedSources" displayName="ReviewedSources" ref="A7:I702" headerRowCount="1" totalsRowCount="0" totalsRowShown="0">
  <x:autoFilter ref="A7:I702"/>
  <x:tableColumns count="9">
    <x:tableColumn id="1" name="Repository"/>
    <x:tableColumn id="2" name="HDL path"/>
    <x:tableColumn id="3" name="Role"/>
    <x:tableColumn id="4" name="Module(s)"/>
    <x:tableColumn id="5" name="Declared inputs"/>
    <x:tableColumn id="6" name="Declared outputs"/>
    <x:tableColumn id="7" name="Case IDs / treatment"/>
    <x:tableColumn id="8" name="Reviewed source URL (copy)"/>
    <x:tableColumn id="9" name="Reviewed comm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cf98c272f247ee" /></Relationships>
</file>

<file path=xl/worksheets/_rels/sheet3.xml.rels>&#65279;<?xml version="1.0" encoding="utf-8"?><Relationships xmlns="http://schemas.openxmlformats.org/package/2006/relationships"><Relationship Type="http://schemas.openxmlformats.org/officeDocument/2006/relationships/table" Target="/xl/tables/table2.xml" Id="R67945366a73c4104" /></Relationships>
</file>

<file path=xl/worksheets/sheet1.xml><?xml version="1.0" encoding="utf-8"?>
<x:worksheet xmlns:x="http://schemas.openxmlformats.org/spreadsheetml/2006/main">
  <x:sheetPr>
    <x:tabColor rgb="FF146C78"/>
  </x:sheetPr>
  <x:sheetViews>
    <x:sheetView showGridLines="0" workbookViewId="0">
      <x:pane ySplit="9" topLeftCell="A10" activePane="bottomLeft" state="frozen"/>
    </x:sheetView>
  </x:sheetViews>
  <x:sheetFormatPr defaultRowHeight="15"/>
  <x:cols>
    <x:col min="1" max="1" width="38" hidden="0" customWidth="1"/>
    <x:col min="2" max="2" width="11" hidden="0" customWidth="1"/>
    <x:col min="3" max="3" width="13" hidden="0" customWidth="1"/>
    <x:col min="4" max="4" width="15" hidden="0" customWidth="1"/>
    <x:col min="5" max="5" width="11" hidden="0" customWidth="1"/>
    <x:col min="6" max="6" width="11" hidden="0" customWidth="1"/>
    <x:col min="7" max="7" width="12" hidden="0" customWidth="1"/>
    <x:col min="8" max="8" width="11" hidden="0" customWidth="1"/>
    <x:col min="9" max="9" width="15" hidden="0" customWidth="1"/>
    <x:col min="10" max="10" width="23" hidden="0" customWidth="1"/>
  </x:cols>
  <x:sheetData>
    <x:row r="1">
      <x:c r="A1" s="6" t="str">
        <x:v>VERILOG / VERIFICATION TRACKER</x:v>
      </x:c>
      <x:c r="B1" s="6" t="str">
        <x:v>VERILOG / VERIFICATION TRACKER</x:v>
      </x:c>
      <x:c r="C1" s="6" t="str">
        <x:v>VERILOG / VERIFICATION TRACKER</x:v>
      </x:c>
      <x:c r="D1" s="6" t="str">
        <x:v>VERILOG / VERIFICATION TRACKER</x:v>
      </x:c>
      <x:c r="E1" s="6" t="str">
        <x:v>VERILOG / VERIFICATION TRACKER</x:v>
      </x:c>
      <x:c r="F1" s="6" t="str">
        <x:v>VERILOG / VERIFICATION TRACKER</x:v>
      </x:c>
      <x:c r="G1" s="6" t="str">
        <x:v>VERILOG / VERIFICATION TRACKER</x:v>
      </x:c>
      <x:c r="H1" s="6" t="str">
        <x:v>VERILOG / VERIFICATION TRACKER</x:v>
      </x:c>
      <x:c r="I1" s="6" t="str">
        <x:v>VERILOG / VERIFICATION TRACKER</x:v>
      </x:c>
      <x:c r="J1" s="6" t="str">
        <x:v>VERILOG / VERIFICATION TRACKER</x:v>
      </x:c>
    </x:row>
    <x:row r="2">
      <x:c r="A2" s="6" t="str">
        <x:v>VERILOG / VERIFICATION TRACKER</x:v>
      </x:c>
      <x:c r="B2" s="6" t="str">
        <x:v>VERILOG / VERIFICATION TRACKER</x:v>
      </x:c>
      <x:c r="C2" s="6" t="str">
        <x:v>VERILOG / VERIFICATION TRACKER</x:v>
      </x:c>
      <x:c r="D2" s="6" t="str">
        <x:v>VERILOG / VERIFICATION TRACKER</x:v>
      </x:c>
      <x:c r="E2" s="6" t="str">
        <x:v>VERILOG / VERIFICATION TRACKER</x:v>
      </x:c>
      <x:c r="F2" s="6" t="str">
        <x:v>VERILOG / VERIFICATION TRACKER</x:v>
      </x:c>
      <x:c r="G2" s="6" t="str">
        <x:v>VERILOG / VERIFICATION TRACKER</x:v>
      </x:c>
      <x:c r="H2" s="6" t="str">
        <x:v>VERILOG / VERIFICATION TRACKER</x:v>
      </x:c>
      <x:c r="I2" s="6" t="str">
        <x:v>VERILOG / VERIFICATION TRACKER</x:v>
      </x:c>
      <x:c r="J2" s="6" t="str">
        <x:v>VERILOG / VERIFICATION TRACKER</x:v>
      </x:c>
    </x:row>
    <x:row r="3" ht="25" customHeight="1">
      <x:c r="A3" s="28" t="str">
        <x:v>PUBLIC HDL REPOSITORIES  ·  Reviewed 2026-09-22  ·  695 HDL files</x:v>
      </x:c>
      <x:c r="B3" s="28" t="str">
        <x:v>PUBLIC HDL REPOSITORIES  ·  Reviewed 2026-09-22  ·  695 HDL files</x:v>
      </x:c>
      <x:c r="C3" s="28" t="str">
        <x:v>PUBLIC HDL REPOSITORIES  ·  Reviewed 2026-09-22  ·  695 HDL files</x:v>
      </x:c>
      <x:c r="D3" s="28" t="str">
        <x:v>PUBLIC HDL REPOSITORIES  ·  Reviewed 2026-09-22  ·  695 HDL files</x:v>
      </x:c>
      <x:c r="E3" s="28" t="str">
        <x:v>PUBLIC HDL REPOSITORIES  ·  Reviewed 2026-09-22  ·  695 HDL files</x:v>
      </x:c>
      <x:c r="F3" s="28" t="str">
        <x:v>PUBLIC HDL REPOSITORIES  ·  Reviewed 2026-09-22  ·  695 HDL files</x:v>
      </x:c>
      <x:c r="G3" s="28" t="str">
        <x:v>PUBLIC HDL REPOSITORIES  ·  Reviewed 2026-09-22  ·  695 HDL files</x:v>
      </x:c>
      <x:c r="H3" s="28" t="str">
        <x:v>PUBLIC HDL REPOSITORIES  ·  Reviewed 2026-09-22  ·  695 HDL files</x:v>
      </x:c>
      <x:c r="I3" s="28" t="str">
        <x:v>PUBLIC HDL REPOSITORIES  ·  Reviewed 2026-09-22  ·  695 HDL files</x:v>
      </x:c>
      <x:c r="J3" s="28" t="str">
        <x:v>PUBLIC HDL REPOSITORIES  ·  Reviewed 2026-09-22  ·  695 HDL files</x:v>
      </x:c>
    </x:row>
    <x:row r="4" ht="25" customHeight="1">
      <x:c r="A4" s="4"/>
      <x:c r="B4" s="4"/>
      <x:c r="C4" s="4"/>
      <x:c r="D4" s="4"/>
      <x:c r="E4" s="4"/>
      <x:c r="F4" s="4"/>
      <x:c r="G4" s="4"/>
      <x:c r="H4" s="4"/>
      <x:c r="I4" s="4"/>
      <x:c r="J4" s="4"/>
    </x:row>
    <x:row r="5" ht="25" customHeight="1">
      <x:c r="A5" s="8" t="str">
        <x:v>1  Open Test cases. Filter your repository and P0 priority, then follow the stimulus and expected timing.</x:v>
      </x:c>
      <x:c r="B5" s="8" t="str">
        <x:v>1  Open Test cases. Filter your repository and P0 priority, then follow the stimulus and expected timing.</x:v>
      </x:c>
      <x:c r="C5" s="8" t="str">
        <x:v>1  Open Test cases. Filter your repository and P0 priority, then follow the stimulus and expected timing.</x:v>
      </x:c>
      <x:c r="D5" s="8" t="str">
        <x:v>1  Open Test cases. Filter your repository and P0 priority, then follow the stimulus and expected timing.</x:v>
      </x:c>
      <x:c r="E5" s="8" t="str">
        <x:v>1  Open Test cases. Filter your repository and P0 priority, then follow the stimulus and expected timing.</x:v>
      </x:c>
      <x:c r="F5" s="8" t="str">
        <x:v>1  Open Test cases. Filter your repository and P0 priority, then follow the stimulus and expected timing.</x:v>
      </x:c>
      <x:c r="G5" s="8" t="str">
        <x:v>1  Open Test cases. Filter your repository and P0 priority, then follow the stimulus and expected timing.</x:v>
      </x:c>
      <x:c r="H5" s="8" t="str">
        <x:v>1  Open Test cases. Filter your repository and P0 priority, then follow the stimulus and expected timing.</x:v>
      </x:c>
      <x:c r="I5" s="8" t="str">
        <x:v>1  Open Test cases. Filter your repository and P0 priority, then follow the stimulus and expected timing.</x:v>
      </x:c>
      <x:c r="J5" s="8" t="str">
        <x:v>1  Open Test cases. Filter your repository and P0 priority, then follow the stimulus and expected timing.</x:v>
      </x:c>
    </x:row>
    <x:row r="6" ht="25" customHeight="1">
      <x:c r="A6" s="8" t="str">
        <x:v>2  Run the test. Fill the yellow evidence fields, select a status, and use the progress totals below.</x:v>
      </x:c>
      <x:c r="B6" s="8" t="str">
        <x:v>2  Run the test. Fill the yellow evidence fields, select a status, and use the progress totals below.</x:v>
      </x:c>
      <x:c r="C6" s="8" t="str">
        <x:v>2  Run the test. Fill the yellow evidence fields, select a status, and use the progress totals below.</x:v>
      </x:c>
      <x:c r="D6" s="8" t="str">
        <x:v>2  Run the test. Fill the yellow evidence fields, select a status, and use the progress totals below.</x:v>
      </x:c>
      <x:c r="E6" s="8" t="str">
        <x:v>2  Run the test. Fill the yellow evidence fields, select a status, and use the progress totals below.</x:v>
      </x:c>
      <x:c r="F6" s="8" t="str">
        <x:v>2  Run the test. Fill the yellow evidence fields, select a status, and use the progress totals below.</x:v>
      </x:c>
      <x:c r="G6" s="8" t="str">
        <x:v>2  Run the test. Fill the yellow evidence fields, select a status, and use the progress totals below.</x:v>
      </x:c>
      <x:c r="H6" s="8" t="str">
        <x:v>2  Run the test. Fill the yellow evidence fields, select a status, and use the progress totals below.</x:v>
      </x:c>
      <x:c r="I6" s="8" t="str">
        <x:v>2  Run the test. Fill the yellow evidence fields, select a status, and use the progress totals below.</x:v>
      </x:c>
      <x:c r="J6" s="8" t="str">
        <x:v>2  Run the test. Fill the yellow evidence fields, select a status, and use the progress totals below.</x:v>
      </x:c>
    </x:row>
    <x:row r="7" ht="25" customHeight="1">
      <x:c r="A7" s="8" t="str">
        <x:v>No new simulations were run for this plan. Existing testbenches and historical PASS messages do not count as Done.</x:v>
      </x:c>
      <x:c r="B7" s="8" t="str">
        <x:v>No new simulations were run for this plan. Existing testbenches and historical PASS messages do not count as Done.</x:v>
      </x:c>
      <x:c r="C7" s="8" t="str">
        <x:v>No new simulations were run for this plan. Existing testbenches and historical PASS messages do not count as Done.</x:v>
      </x:c>
      <x:c r="D7" s="8" t="str">
        <x:v>No new simulations were run for this plan. Existing testbenches and historical PASS messages do not count as Done.</x:v>
      </x:c>
      <x:c r="E7" s="8" t="str">
        <x:v>No new simulations were run for this plan. Existing testbenches and historical PASS messages do not count as Done.</x:v>
      </x:c>
      <x:c r="F7" s="8" t="str">
        <x:v>No new simulations were run for this plan. Existing testbenches and historical PASS messages do not count as Done.</x:v>
      </x:c>
      <x:c r="G7" s="8" t="str">
        <x:v>No new simulations were run for this plan. Existing testbenches and historical PASS messages do not count as Done.</x:v>
      </x:c>
      <x:c r="H7" s="8" t="str">
        <x:v>No new simulations were run for this plan. Existing testbenches and historical PASS messages do not count as Done.</x:v>
      </x:c>
      <x:c r="I7" s="8" t="str">
        <x:v>No new simulations were run for this plan. Existing testbenches and historical PASS messages do not count as Done.</x:v>
      </x:c>
      <x:c r="J7" s="8" t="str">
        <x:v>No new simulations were run for this plan. Existing testbenches and historical PASS messages do not count as Done.</x:v>
      </x:c>
    </x:row>
    <x:row r="8">
      <x:c r="A8" s="4"/>
      <x:c r="B8" s="4"/>
      <x:c r="C8" s="4"/>
      <x:c r="D8" s="4"/>
      <x:c r="E8" s="4"/>
      <x:c r="F8" s="4"/>
      <x:c r="G8" s="4"/>
      <x:c r="H8" s="4"/>
      <x:c r="I8" s="4"/>
      <x:c r="J8" s="4"/>
    </x:row>
    <x:row r="9" ht="44" customHeight="1">
      <x:c r="A9" s="14" t="str">
        <x:v>Repository</x:v>
      </x:c>
      <x:c r="B9" s="14" t="str">
        <x:v>All cases</x:v>
      </x:c>
      <x:c r="C9" s="14" t="str">
        <x:v>Pending</x:v>
      </x:c>
      <x:c r="D9" s="14" t="str">
        <x:v>In progress</x:v>
      </x:c>
      <x:c r="E9" s="14" t="str">
        <x:v>Done</x:v>
      </x:c>
      <x:c r="F9" s="14" t="str">
        <x:v>Failed</x:v>
      </x:c>
      <x:c r="G9" s="14" t="str">
        <x:v>Blocked</x:v>
      </x:c>
      <x:c r="H9" s="14" t="str">
        <x:v>N/A</x:v>
      </x:c>
      <x:c r="I9" s="14" t="str">
        <x:v>Completion</x:v>
      </x:c>
      <x:c r="J9" s="14" t="str">
        <x:v>Done lacking evidence</x:v>
      </x:c>
    </x:row>
    <x:row r="10" ht="30" customHeight="1">
      <x:c r="A10" s="4" t="str">
        <x:v>RamAndFifo</x:v>
      </x:c>
      <x:c r="B10" s="37" t="n">
        <x:f>COUNTIF('Test cases'!$D$8:$D$651,A10)</x:f>
        <x:v>47</x:v>
      </x:c>
      <x:c r="C10" s="37" t="n">
        <x:f>COUNTIFS('Test cases'!$D$8:$D$651,A10,'Test cases'!$B$8:$B$651,"Pending")</x:f>
        <x:v>47</x:v>
      </x:c>
      <x:c r="D10" s="37" t="n">
        <x:f>COUNTIFS('Test cases'!$D$8:$D$651,A10,'Test cases'!$B$8:$B$651,"In progress")</x:f>
        <x:v>0</x:v>
      </x:c>
      <x:c r="E10" s="37" t="n">
        <x:f>COUNTIFS('Test cases'!$D$8:$D$651,A10,'Test cases'!$B$8:$B$651,"Done")</x:f>
        <x:v>0</x:v>
      </x:c>
      <x:c r="F10" s="37" t="n">
        <x:f>COUNTIFS('Test cases'!$D$8:$D$651,A10,'Test cases'!$B$8:$B$651,"Failed")</x:f>
        <x:v>0</x:v>
      </x:c>
      <x:c r="G10" s="37" t="n">
        <x:f>COUNTIFS('Test cases'!$D$8:$D$651,A10,'Test cases'!$B$8:$B$651,"Blocked")</x:f>
        <x:v>0</x:v>
      </x:c>
      <x:c r="H10" s="37" t="n">
        <x:f>COUNTIFS('Test cases'!$D$8:$D$651,A10,'Test cases'!$B$8:$B$651,"N/A")</x:f>
        <x:v>0</x:v>
      </x:c>
      <x:c r="I10" s="38" t="n">
        <x:f>IF(B10-H10=0,0,E10/(B10-H10))</x:f>
        <x:v>0</x:v>
      </x:c>
      <x:c r="J10" s="37" t="n">
        <x:f>COUNTIFS('Test cases'!$D$8:$D$651,A10,'Test cases'!$P$8:$P$651,"Add run evidence")</x:f>
        <x:v>0</x:v>
      </x:c>
    </x:row>
    <x:row r="11" ht="30" customHeight="1">
      <x:c r="A11" s="15" t="str">
        <x:v>AsynchronousFifo</x:v>
      </x:c>
      <x:c r="B11" s="39" t="n">
        <x:f>COUNTIF('Test cases'!$D$8:$D$651,A11)</x:f>
        <x:v>18</x:v>
      </x:c>
      <x:c r="C11" s="39" t="n">
        <x:f>COUNTIFS('Test cases'!$D$8:$D$651,A11,'Test cases'!$B$8:$B$651,"Pending")</x:f>
        <x:v>17</x:v>
      </x:c>
      <x:c r="D11" s="39" t="n">
        <x:f>COUNTIFS('Test cases'!$D$8:$D$651,A11,'Test cases'!$B$8:$B$651,"In progress")</x:f>
        <x:v>0</x:v>
      </x:c>
      <x:c r="E11" s="39" t="n">
        <x:f>COUNTIFS('Test cases'!$D$8:$D$651,A11,'Test cases'!$B$8:$B$651,"Done")</x:f>
        <x:v>0</x:v>
      </x:c>
      <x:c r="F11" s="39" t="n">
        <x:f>COUNTIFS('Test cases'!$D$8:$D$651,A11,'Test cases'!$B$8:$B$651,"Failed")</x:f>
        <x:v>0</x:v>
      </x:c>
      <x:c r="G11" s="39" t="n">
        <x:f>COUNTIFS('Test cases'!$D$8:$D$651,A11,'Test cases'!$B$8:$B$651,"Blocked")</x:f>
        <x:v>1</x:v>
      </x:c>
      <x:c r="H11" s="39" t="n">
        <x:f>COUNTIFS('Test cases'!$D$8:$D$651,A11,'Test cases'!$B$8:$B$651,"N/A")</x:f>
        <x:v>0</x:v>
      </x:c>
      <x:c r="I11" s="40" t="n">
        <x:f>IF(B11-H11=0,0,E11/(B11-H11))</x:f>
        <x:v>0</x:v>
      </x:c>
      <x:c r="J11" s="39" t="n">
        <x:f>COUNTIFS('Test cases'!$D$8:$D$651,A11,'Test cases'!$P$8:$P$651,"Add run evidence")</x:f>
        <x:v>0</x:v>
      </x:c>
    </x:row>
    <x:row r="12" ht="30" customHeight="1">
      <x:c r="A12" s="4" t="str">
        <x:v>UART-</x:v>
      </x:c>
      <x:c r="B12" s="37" t="n">
        <x:f>COUNTIF('Test cases'!$D$8:$D$651,A12)</x:f>
        <x:v>42</x:v>
      </x:c>
      <x:c r="C12" s="37" t="n">
        <x:f>COUNTIFS('Test cases'!$D$8:$D$651,A12,'Test cases'!$B$8:$B$651,"Pending")</x:f>
        <x:v>42</x:v>
      </x:c>
      <x:c r="D12" s="37" t="n">
        <x:f>COUNTIFS('Test cases'!$D$8:$D$651,A12,'Test cases'!$B$8:$B$651,"In progress")</x:f>
        <x:v>0</x:v>
      </x:c>
      <x:c r="E12" s="37" t="n">
        <x:f>COUNTIFS('Test cases'!$D$8:$D$651,A12,'Test cases'!$B$8:$B$651,"Done")</x:f>
        <x:v>0</x:v>
      </x:c>
      <x:c r="F12" s="37" t="n">
        <x:f>COUNTIFS('Test cases'!$D$8:$D$651,A12,'Test cases'!$B$8:$B$651,"Failed")</x:f>
        <x:v>0</x:v>
      </x:c>
      <x:c r="G12" s="37" t="n">
        <x:f>COUNTIFS('Test cases'!$D$8:$D$651,A12,'Test cases'!$B$8:$B$651,"Blocked")</x:f>
        <x:v>0</x:v>
      </x:c>
      <x:c r="H12" s="37" t="n">
        <x:f>COUNTIFS('Test cases'!$D$8:$D$651,A12,'Test cases'!$B$8:$B$651,"N/A")</x:f>
        <x:v>0</x:v>
      </x:c>
      <x:c r="I12" s="38" t="n">
        <x:f>IF(B12-H12=0,0,E12/(B12-H12))</x:f>
        <x:v>0</x:v>
      </x:c>
      <x:c r="J12" s="37" t="n">
        <x:f>COUNTIFS('Test cases'!$D$8:$D$651,A12,'Test cases'!$P$8:$P$651,"Add run evidence")</x:f>
        <x:v>0</x:v>
      </x:c>
    </x:row>
    <x:row r="13" ht="30" customHeight="1">
      <x:c r="A13" s="15" t="str">
        <x:v>UART-legacy</x:v>
      </x:c>
      <x:c r="B13" s="39" t="n">
        <x:f>COUNTIF('Test cases'!$D$8:$D$651,A13)</x:f>
        <x:v>24</x:v>
      </x:c>
      <x:c r="C13" s="39" t="n">
        <x:f>COUNTIFS('Test cases'!$D$8:$D$651,A13,'Test cases'!$B$8:$B$651,"Pending")</x:f>
        <x:v>24</x:v>
      </x:c>
      <x:c r="D13" s="39" t="n">
        <x:f>COUNTIFS('Test cases'!$D$8:$D$651,A13,'Test cases'!$B$8:$B$651,"In progress")</x:f>
        <x:v>0</x:v>
      </x:c>
      <x:c r="E13" s="39" t="n">
        <x:f>COUNTIFS('Test cases'!$D$8:$D$651,A13,'Test cases'!$B$8:$B$651,"Done")</x:f>
        <x:v>0</x:v>
      </x:c>
      <x:c r="F13" s="39" t="n">
        <x:f>COUNTIFS('Test cases'!$D$8:$D$651,A13,'Test cases'!$B$8:$B$651,"Failed")</x:f>
        <x:v>0</x:v>
      </x:c>
      <x:c r="G13" s="39" t="n">
        <x:f>COUNTIFS('Test cases'!$D$8:$D$651,A13,'Test cases'!$B$8:$B$651,"Blocked")</x:f>
        <x:v>0</x:v>
      </x:c>
      <x:c r="H13" s="39" t="n">
        <x:f>COUNTIFS('Test cases'!$D$8:$D$651,A13,'Test cases'!$B$8:$B$651,"N/A")</x:f>
        <x:v>0</x:v>
      </x:c>
      <x:c r="I13" s="40" t="n">
        <x:f>IF(B13-H13=0,0,E13/(B13-H13))</x:f>
        <x:v>0</x:v>
      </x:c>
      <x:c r="J13" s="39" t="n">
        <x:f>COUNTIFS('Test cases'!$D$8:$D$651,A13,'Test cases'!$P$8:$P$651,"Add run evidence")</x:f>
        <x:v>0</x:v>
      </x:c>
    </x:row>
    <x:row r="14" ht="30" customHeight="1">
      <x:c r="A14" s="4" t="str">
        <x:v>DesignProject</x:v>
      </x:c>
      <x:c r="B14" s="37" t="n">
        <x:f>COUNTIF('Test cases'!$D$8:$D$651,A14)</x:f>
        <x:v>39</x:v>
      </x:c>
      <x:c r="C14" s="37" t="n">
        <x:f>COUNTIFS('Test cases'!$D$8:$D$651,A14,'Test cases'!$B$8:$B$651,"Pending")</x:f>
        <x:v>39</x:v>
      </x:c>
      <x:c r="D14" s="37" t="n">
        <x:f>COUNTIFS('Test cases'!$D$8:$D$651,A14,'Test cases'!$B$8:$B$651,"In progress")</x:f>
        <x:v>0</x:v>
      </x:c>
      <x:c r="E14" s="37" t="n">
        <x:f>COUNTIFS('Test cases'!$D$8:$D$651,A14,'Test cases'!$B$8:$B$651,"Done")</x:f>
        <x:v>0</x:v>
      </x:c>
      <x:c r="F14" s="37" t="n">
        <x:f>COUNTIFS('Test cases'!$D$8:$D$651,A14,'Test cases'!$B$8:$B$651,"Failed")</x:f>
        <x:v>0</x:v>
      </x:c>
      <x:c r="G14" s="37" t="n">
        <x:f>COUNTIFS('Test cases'!$D$8:$D$651,A14,'Test cases'!$B$8:$B$651,"Blocked")</x:f>
        <x:v>0</x:v>
      </x:c>
      <x:c r="H14" s="37" t="n">
        <x:f>COUNTIFS('Test cases'!$D$8:$D$651,A14,'Test cases'!$B$8:$B$651,"N/A")</x:f>
        <x:v>0</x:v>
      </x:c>
      <x:c r="I14" s="38" t="n">
        <x:f>IF(B14-H14=0,0,E14/(B14-H14))</x:f>
        <x:v>0</x:v>
      </x:c>
      <x:c r="J14" s="37" t="n">
        <x:f>COUNTIFS('Test cases'!$D$8:$D$651,A14,'Test cases'!$P$8:$P$651,"Add run evidence")</x:f>
        <x:v>0</x:v>
      </x:c>
    </x:row>
    <x:row r="15" ht="30" customHeight="1">
      <x:c r="A15" s="15" t="str">
        <x:v>VerilogCodesUpdatedDaily</x:v>
      </x:c>
      <x:c r="B15" s="39" t="n">
        <x:f>COUNTIF('Test cases'!$D$8:$D$651,A15)</x:f>
        <x:v>21</x:v>
      </x:c>
      <x:c r="C15" s="39" t="n">
        <x:f>COUNTIFS('Test cases'!$D$8:$D$651,A15,'Test cases'!$B$8:$B$651,"Pending")</x:f>
        <x:v>20</x:v>
      </x:c>
      <x:c r="D15" s="39" t="n">
        <x:f>COUNTIFS('Test cases'!$D$8:$D$651,A15,'Test cases'!$B$8:$B$651,"In progress")</x:f>
        <x:v>0</x:v>
      </x:c>
      <x:c r="E15" s="39" t="n">
        <x:f>COUNTIFS('Test cases'!$D$8:$D$651,A15,'Test cases'!$B$8:$B$651,"Done")</x:f>
        <x:v>0</x:v>
      </x:c>
      <x:c r="F15" s="39" t="n">
        <x:f>COUNTIFS('Test cases'!$D$8:$D$651,A15,'Test cases'!$B$8:$B$651,"Failed")</x:f>
        <x:v>0</x:v>
      </x:c>
      <x:c r="G15" s="39" t="n">
        <x:f>COUNTIFS('Test cases'!$D$8:$D$651,A15,'Test cases'!$B$8:$B$651,"Blocked")</x:f>
        <x:v>1</x:v>
      </x:c>
      <x:c r="H15" s="39" t="n">
        <x:f>COUNTIFS('Test cases'!$D$8:$D$651,A15,'Test cases'!$B$8:$B$651,"N/A")</x:f>
        <x:v>0</x:v>
      </x:c>
      <x:c r="I15" s="40" t="n">
        <x:f>IF(B15-H15=0,0,E15/(B15-H15))</x:f>
        <x:v>0</x:v>
      </x:c>
      <x:c r="J15" s="39" t="n">
        <x:f>COUNTIFS('Test cases'!$D$8:$D$651,A15,'Test cases'!$P$8:$P$651,"Add run evidence")</x:f>
        <x:v>0</x:v>
      </x:c>
    </x:row>
    <x:row r="16" ht="30" customHeight="1">
      <x:c r="A16" s="4" t="str">
        <x:v>mips-processor</x:v>
      </x:c>
      <x:c r="B16" s="37" t="n">
        <x:f>COUNTIF('Test cases'!$D$8:$D$651,A16)</x:f>
        <x:v>12</x:v>
      </x:c>
      <x:c r="C16" s="37" t="n">
        <x:f>COUNTIFS('Test cases'!$D$8:$D$651,A16,'Test cases'!$B$8:$B$651,"Pending")</x:f>
        <x:v>12</x:v>
      </x:c>
      <x:c r="D16" s="37" t="n">
        <x:f>COUNTIFS('Test cases'!$D$8:$D$651,A16,'Test cases'!$B$8:$B$651,"In progress")</x:f>
        <x:v>0</x:v>
      </x:c>
      <x:c r="E16" s="37" t="n">
        <x:f>COUNTIFS('Test cases'!$D$8:$D$651,A16,'Test cases'!$B$8:$B$651,"Done")</x:f>
        <x:v>0</x:v>
      </x:c>
      <x:c r="F16" s="37" t="n">
        <x:f>COUNTIFS('Test cases'!$D$8:$D$651,A16,'Test cases'!$B$8:$B$651,"Failed")</x:f>
        <x:v>0</x:v>
      </x:c>
      <x:c r="G16" s="37" t="n">
        <x:f>COUNTIFS('Test cases'!$D$8:$D$651,A16,'Test cases'!$B$8:$B$651,"Blocked")</x:f>
        <x:v>0</x:v>
      </x:c>
      <x:c r="H16" s="37" t="n">
        <x:f>COUNTIFS('Test cases'!$D$8:$D$651,A16,'Test cases'!$B$8:$B$651,"N/A")</x:f>
        <x:v>0</x:v>
      </x:c>
      <x:c r="I16" s="38" t="n">
        <x:f>IF(B16-H16=0,0,E16/(B16-H16))</x:f>
        <x:v>0</x:v>
      </x:c>
      <x:c r="J16" s="37" t="n">
        <x:f>COUNTIFS('Test cases'!$D$8:$D$651,A16,'Test cases'!$P$8:$P$651,"Add run evidence")</x:f>
        <x:v>0</x:v>
      </x:c>
    </x:row>
    <x:row r="17" ht="30" customHeight="1">
      <x:c r="A17" s="15" t="str">
        <x:v>VerificationLab</x:v>
      </x:c>
      <x:c r="B17" s="39" t="n">
        <x:f>COUNTIF('Test cases'!$D$8:$D$651,A17)</x:f>
        <x:v>36</x:v>
      </x:c>
      <x:c r="C17" s="39" t="n">
        <x:f>COUNTIFS('Test cases'!$D$8:$D$651,A17,'Test cases'!$B$8:$B$651,"Pending")</x:f>
        <x:v>36</x:v>
      </x:c>
      <x:c r="D17" s="39" t="n">
        <x:f>COUNTIFS('Test cases'!$D$8:$D$651,A17,'Test cases'!$B$8:$B$651,"In progress")</x:f>
        <x:v>0</x:v>
      </x:c>
      <x:c r="E17" s="39" t="n">
        <x:f>COUNTIFS('Test cases'!$D$8:$D$651,A17,'Test cases'!$B$8:$B$651,"Done")</x:f>
        <x:v>0</x:v>
      </x:c>
      <x:c r="F17" s="39" t="n">
        <x:f>COUNTIFS('Test cases'!$D$8:$D$651,A17,'Test cases'!$B$8:$B$651,"Failed")</x:f>
        <x:v>0</x:v>
      </x:c>
      <x:c r="G17" s="39" t="n">
        <x:f>COUNTIFS('Test cases'!$D$8:$D$651,A17,'Test cases'!$B$8:$B$651,"Blocked")</x:f>
        <x:v>0</x:v>
      </x:c>
      <x:c r="H17" s="39" t="n">
        <x:f>COUNTIFS('Test cases'!$D$8:$D$651,A17,'Test cases'!$B$8:$B$651,"N/A")</x:f>
        <x:v>0</x:v>
      </x:c>
      <x:c r="I17" s="40" t="n">
        <x:f>IF(B17-H17=0,0,E17/(B17-H17))</x:f>
        <x:v>0</x:v>
      </x:c>
      <x:c r="J17" s="39" t="n">
        <x:f>COUNTIFS('Test cases'!$D$8:$D$651,A17,'Test cases'!$P$8:$P$651,"Add run evidence")</x:f>
        <x:v>0</x:v>
      </x:c>
    </x:row>
    <x:row r="18" ht="30" customHeight="1">
      <x:c r="A18" s="4" t="str">
        <x:v>PlacementPrep</x:v>
      </x:c>
      <x:c r="B18" s="37" t="n">
        <x:f>COUNTIF('Test cases'!$D$8:$D$651,A18)</x:f>
        <x:v>48</x:v>
      </x:c>
      <x:c r="C18" s="37" t="n">
        <x:f>COUNTIFS('Test cases'!$D$8:$D$651,A18,'Test cases'!$B$8:$B$651,"Pending")</x:f>
        <x:v>48</x:v>
      </x:c>
      <x:c r="D18" s="37" t="n">
        <x:f>COUNTIFS('Test cases'!$D$8:$D$651,A18,'Test cases'!$B$8:$B$651,"In progress")</x:f>
        <x:v>0</x:v>
      </x:c>
      <x:c r="E18" s="37" t="n">
        <x:f>COUNTIFS('Test cases'!$D$8:$D$651,A18,'Test cases'!$B$8:$B$651,"Done")</x:f>
        <x:v>0</x:v>
      </x:c>
      <x:c r="F18" s="37" t="n">
        <x:f>COUNTIFS('Test cases'!$D$8:$D$651,A18,'Test cases'!$B$8:$B$651,"Failed")</x:f>
        <x:v>0</x:v>
      </x:c>
      <x:c r="G18" s="37" t="n">
        <x:f>COUNTIFS('Test cases'!$D$8:$D$651,A18,'Test cases'!$B$8:$B$651,"Blocked")</x:f>
        <x:v>0</x:v>
      </x:c>
      <x:c r="H18" s="37" t="n">
        <x:f>COUNTIFS('Test cases'!$D$8:$D$651,A18,'Test cases'!$B$8:$B$651,"N/A")</x:f>
        <x:v>0</x:v>
      </x:c>
      <x:c r="I18" s="38" t="n">
        <x:f>IF(B18-H18=0,0,E18/(B18-H18))</x:f>
        <x:v>0</x:v>
      </x:c>
      <x:c r="J18" s="37" t="n">
        <x:f>COUNTIFS('Test cases'!$D$8:$D$651,A18,'Test cases'!$P$8:$P$651,"Add run evidence")</x:f>
        <x:v>0</x:v>
      </x:c>
    </x:row>
    <x:row r="19" ht="30" customHeight="1">
      <x:c r="A19" s="15" t="str">
        <x:v>GoodQuestions</x:v>
      </x:c>
      <x:c r="B19" s="39" t="n">
        <x:f>COUNTIF('Test cases'!$D$8:$D$651,A19)</x:f>
        <x:v>79</x:v>
      </x:c>
      <x:c r="C19" s="39" t="n">
        <x:f>COUNTIFS('Test cases'!$D$8:$D$651,A19,'Test cases'!$B$8:$B$651,"Pending")</x:f>
        <x:v>78</x:v>
      </x:c>
      <x:c r="D19" s="39" t="n">
        <x:f>COUNTIFS('Test cases'!$D$8:$D$651,A19,'Test cases'!$B$8:$B$651,"In progress")</x:f>
        <x:v>0</x:v>
      </x:c>
      <x:c r="E19" s="39" t="n">
        <x:f>COUNTIFS('Test cases'!$D$8:$D$651,A19,'Test cases'!$B$8:$B$651,"Done")</x:f>
        <x:v>0</x:v>
      </x:c>
      <x:c r="F19" s="39" t="n">
        <x:f>COUNTIFS('Test cases'!$D$8:$D$651,A19,'Test cases'!$B$8:$B$651,"Failed")</x:f>
        <x:v>0</x:v>
      </x:c>
      <x:c r="G19" s="39" t="n">
        <x:f>COUNTIFS('Test cases'!$D$8:$D$651,A19,'Test cases'!$B$8:$B$651,"Blocked")</x:f>
        <x:v>1</x:v>
      </x:c>
      <x:c r="H19" s="39" t="n">
        <x:f>COUNTIFS('Test cases'!$D$8:$D$651,A19,'Test cases'!$B$8:$B$651,"N/A")</x:f>
        <x:v>0</x:v>
      </x:c>
      <x:c r="I19" s="40" t="n">
        <x:f>IF(B19-H19=0,0,E19/(B19-H19))</x:f>
        <x:v>0</x:v>
      </x:c>
      <x:c r="J19" s="39" t="n">
        <x:f>COUNTIFS('Test cases'!$D$8:$D$651,A19,'Test cases'!$P$8:$P$651,"Add run evidence")</x:f>
        <x:v>0</x:v>
      </x:c>
    </x:row>
    <x:row r="20" ht="30" customHeight="1">
      <x:c r="A20" s="4" t="str">
        <x:v>MorrisManoDE</x:v>
      </x:c>
      <x:c r="B20" s="37" t="n">
        <x:f>COUNTIF('Test cases'!$D$8:$D$651,A20)</x:f>
        <x:v>2</x:v>
      </x:c>
      <x:c r="C20" s="37" t="n">
        <x:f>COUNTIFS('Test cases'!$D$8:$D$651,A20,'Test cases'!$B$8:$B$651,"Pending")</x:f>
        <x:v>1</x:v>
      </x:c>
      <x:c r="D20" s="37" t="n">
        <x:f>COUNTIFS('Test cases'!$D$8:$D$651,A20,'Test cases'!$B$8:$B$651,"In progress")</x:f>
        <x:v>0</x:v>
      </x:c>
      <x:c r="E20" s="37" t="n">
        <x:f>COUNTIFS('Test cases'!$D$8:$D$651,A20,'Test cases'!$B$8:$B$651,"Done")</x:f>
        <x:v>0</x:v>
      </x:c>
      <x:c r="F20" s="37" t="n">
        <x:f>COUNTIFS('Test cases'!$D$8:$D$651,A20,'Test cases'!$B$8:$B$651,"Failed")</x:f>
        <x:v>0</x:v>
      </x:c>
      <x:c r="G20" s="37" t="n">
        <x:f>COUNTIFS('Test cases'!$D$8:$D$651,A20,'Test cases'!$B$8:$B$651,"Blocked")</x:f>
        <x:v>1</x:v>
      </x:c>
      <x:c r="H20" s="37" t="n">
        <x:f>COUNTIFS('Test cases'!$D$8:$D$651,A20,'Test cases'!$B$8:$B$651,"N/A")</x:f>
        <x:v>0</x:v>
      </x:c>
      <x:c r="I20" s="38" t="n">
        <x:f>IF(B20-H20=0,0,E20/(B20-H20))</x:f>
        <x:v>0</x:v>
      </x:c>
      <x:c r="J20" s="37" t="n">
        <x:f>COUNTIFS('Test cases'!$D$8:$D$651,A20,'Test cases'!$P$8:$P$651,"Add run evidence")</x:f>
        <x:v>0</x:v>
      </x:c>
    </x:row>
    <x:row r="21" ht="30" customHeight="1">
      <x:c r="A21" s="15" t="str">
        <x:v>hdlBits</x:v>
      </x:c>
      <x:c r="B21" s="39" t="n">
        <x:f>COUNTIF('Test cases'!$D$8:$D$651,A21)</x:f>
        <x:v>178</x:v>
      </x:c>
      <x:c r="C21" s="39" t="n">
        <x:f>COUNTIFS('Test cases'!$D$8:$D$651,A21,'Test cases'!$B$8:$B$651,"Pending")</x:f>
        <x:v>146</x:v>
      </x:c>
      <x:c r="D21" s="39" t="n">
        <x:f>COUNTIFS('Test cases'!$D$8:$D$651,A21,'Test cases'!$B$8:$B$651,"In progress")</x:f>
        <x:v>0</x:v>
      </x:c>
      <x:c r="E21" s="39" t="n">
        <x:f>COUNTIFS('Test cases'!$D$8:$D$651,A21,'Test cases'!$B$8:$B$651,"Done")</x:f>
        <x:v>0</x:v>
      </x:c>
      <x:c r="F21" s="39" t="n">
        <x:f>COUNTIFS('Test cases'!$D$8:$D$651,A21,'Test cases'!$B$8:$B$651,"Failed")</x:f>
        <x:v>0</x:v>
      </x:c>
      <x:c r="G21" s="39" t="n">
        <x:f>COUNTIFS('Test cases'!$D$8:$D$651,A21,'Test cases'!$B$8:$B$651,"Blocked")</x:f>
        <x:v>32</x:v>
      </x:c>
      <x:c r="H21" s="39" t="n">
        <x:f>COUNTIFS('Test cases'!$D$8:$D$651,A21,'Test cases'!$B$8:$B$651,"N/A")</x:f>
        <x:v>0</x:v>
      </x:c>
      <x:c r="I21" s="40" t="n">
        <x:f>IF(B21-H21=0,0,E21/(B21-H21))</x:f>
        <x:v>0</x:v>
      </x:c>
      <x:c r="J21" s="39" t="n">
        <x:f>COUNTIFS('Test cases'!$D$8:$D$651,A21,'Test cases'!$P$8:$P$651,"Add run evidence")</x:f>
        <x:v>0</x:v>
      </x:c>
    </x:row>
    <x:row r="22" ht="40" customHeight="1">
      <x:c r="A22" s="4" t="str">
        <x:v>systemverilog-from-beginning</x:v>
      </x:c>
      <x:c r="B22" s="37" t="n">
        <x:f>COUNTIF('Test cases'!$D$8:$D$651,A22)</x:f>
        <x:v>48</x:v>
      </x:c>
      <x:c r="C22" s="37" t="n">
        <x:f>COUNTIFS('Test cases'!$D$8:$D$651,A22,'Test cases'!$B$8:$B$651,"Pending")</x:f>
        <x:v>47</x:v>
      </x:c>
      <x:c r="D22" s="37" t="n">
        <x:f>COUNTIFS('Test cases'!$D$8:$D$651,A22,'Test cases'!$B$8:$B$651,"In progress")</x:f>
        <x:v>0</x:v>
      </x:c>
      <x:c r="E22" s="37" t="n">
        <x:f>COUNTIFS('Test cases'!$D$8:$D$651,A22,'Test cases'!$B$8:$B$651,"Done")</x:f>
        <x:v>0</x:v>
      </x:c>
      <x:c r="F22" s="37" t="n">
        <x:f>COUNTIFS('Test cases'!$D$8:$D$651,A22,'Test cases'!$B$8:$B$651,"Failed")</x:f>
        <x:v>0</x:v>
      </x:c>
      <x:c r="G22" s="37" t="n">
        <x:f>COUNTIFS('Test cases'!$D$8:$D$651,A22,'Test cases'!$B$8:$B$651,"Blocked")</x:f>
        <x:v>1</x:v>
      </x:c>
      <x:c r="H22" s="37" t="n">
        <x:f>COUNTIFS('Test cases'!$D$8:$D$651,A22,'Test cases'!$B$8:$B$651,"N/A")</x:f>
        <x:v>0</x:v>
      </x:c>
      <x:c r="I22" s="38" t="n">
        <x:f>IF(B22-H22=0,0,E22/(B22-H22))</x:f>
        <x:v>0</x:v>
      </x:c>
      <x:c r="J22" s="37" t="n">
        <x:f>COUNTIFS('Test cases'!$D$8:$D$651,A22,'Test cases'!$P$8:$P$651,"Add run evidence")</x:f>
        <x:v>0</x:v>
      </x:c>
    </x:row>
    <x:row r="23" ht="30" customHeight="1">
      <x:c r="A23" s="15" t="str">
        <x:v>RevisionAtlas</x:v>
      </x:c>
      <x:c r="B23" s="39" t="n">
        <x:f>COUNTIF('Test cases'!$D$8:$D$651,A23)</x:f>
        <x:v>50</x:v>
      </x:c>
      <x:c r="C23" s="39" t="n">
        <x:f>COUNTIFS('Test cases'!$D$8:$D$651,A23,'Test cases'!$B$8:$B$651,"Pending")</x:f>
        <x:v>48</x:v>
      </x:c>
      <x:c r="D23" s="39" t="n">
        <x:f>COUNTIFS('Test cases'!$D$8:$D$651,A23,'Test cases'!$B$8:$B$651,"In progress")</x:f>
        <x:v>0</x:v>
      </x:c>
      <x:c r="E23" s="39" t="n">
        <x:f>COUNTIFS('Test cases'!$D$8:$D$651,A23,'Test cases'!$B$8:$B$651,"Done")</x:f>
        <x:v>0</x:v>
      </x:c>
      <x:c r="F23" s="39" t="n">
        <x:f>COUNTIFS('Test cases'!$D$8:$D$651,A23,'Test cases'!$B$8:$B$651,"Failed")</x:f>
        <x:v>0</x:v>
      </x:c>
      <x:c r="G23" s="39" t="n">
        <x:f>COUNTIFS('Test cases'!$D$8:$D$651,A23,'Test cases'!$B$8:$B$651,"Blocked")</x:f>
        <x:v>2</x:v>
      </x:c>
      <x:c r="H23" s="39" t="n">
        <x:f>COUNTIFS('Test cases'!$D$8:$D$651,A23,'Test cases'!$B$8:$B$651,"N/A")</x:f>
        <x:v>0</x:v>
      </x:c>
      <x:c r="I23" s="40" t="n">
        <x:f>IF(B23-H23=0,0,E23/(B23-H23))</x:f>
        <x:v>0</x:v>
      </x:c>
      <x:c r="J23" s="39" t="n">
        <x:f>COUNTIFS('Test cases'!$D$8:$D$651,A23,'Test cases'!$P$8:$P$651,"Add run evidence")</x:f>
        <x:v>0</x:v>
      </x:c>
    </x:row>
    <x:row r="24" ht="33" customHeight="1">
      <x:c r="A24" s="30" t="str">
        <x:v>ALL REPOSITORIES</x:v>
      </x:c>
      <x:c r="B24" s="41" t="n">
        <x:f>SUM(B10:B23)</x:f>
        <x:v>644</x:v>
      </x:c>
      <x:c r="C24" s="41" t="n">
        <x:f>SUM(C10:C23)</x:f>
        <x:v>605</x:v>
      </x:c>
      <x:c r="D24" s="41" t="n">
        <x:f>SUM(D10:D23)</x:f>
        <x:v>0</x:v>
      </x:c>
      <x:c r="E24" s="41" t="n">
        <x:f>SUM(E10:E23)</x:f>
        <x:v>0</x:v>
      </x:c>
      <x:c r="F24" s="41" t="n">
        <x:f>SUM(F10:F23)</x:f>
        <x:v>0</x:v>
      </x:c>
      <x:c r="G24" s="41" t="n">
        <x:f>SUM(G10:G23)</x:f>
        <x:v>39</x:v>
      </x:c>
      <x:c r="H24" s="41" t="n">
        <x:f>SUM(H10:H23)</x:f>
        <x:v>0</x:v>
      </x:c>
      <x:c r="I24" s="42" t="n">
        <x:f>IF(B24-H24=0,0,E24/(B24-H24))</x:f>
        <x:v>0</x:v>
      </x:c>
      <x:c r="J24" s="41" t="n">
        <x:f>SUM(J10:J23)</x:f>
        <x:v>0</x:v>
      </x:c>
    </x:row>
    <x:row r="25">
      <x:c r="A25" s="4"/>
      <x:c r="B25" s="4"/>
      <x:c r="C25" s="4"/>
      <x:c r="D25" s="4"/>
      <x:c r="E25" s="4"/>
      <x:c r="F25" s="4"/>
      <x:c r="G25" s="4"/>
      <x:c r="H25" s="4"/>
      <x:c r="I25" s="4"/>
      <x:c r="J25" s="4"/>
    </x:row>
    <x:row r="26" ht="32" customHeight="1">
      <x:c r="A26" s="44" t="str">
        <x:v>Completion = Done / (All cases minus N/A). Blocked cases still count. Done lacking evidence flags missing result, date or setup.</x:v>
      </x:c>
      <x:c r="B26" s="44" t="str">
        <x:v>Completion = Done / (All cases minus N/A). Blocked cases still count. Done lacking evidence flags missing result, date or setup.</x:v>
      </x:c>
      <x:c r="C26" s="44" t="str">
        <x:v>Completion = Done / (All cases minus N/A). Blocked cases still count. Done lacking evidence flags missing result, date or setup.</x:v>
      </x:c>
      <x:c r="D26" s="44" t="str">
        <x:v>Completion = Done / (All cases minus N/A). Blocked cases still count. Done lacking evidence flags missing result, date or setup.</x:v>
      </x:c>
      <x:c r="E26" s="44" t="str">
        <x:v>Completion = Done / (All cases minus N/A). Blocked cases still count. Done lacking evidence flags missing result, date or setup.</x:v>
      </x:c>
      <x:c r="F26" s="44" t="str">
        <x:v>Completion = Done / (All cases minus N/A). Blocked cases still count. Done lacking evidence flags missing result, date or setup.</x:v>
      </x:c>
      <x:c r="G26" s="44" t="str">
        <x:v>Completion = Done / (All cases minus N/A). Blocked cases still count. Done lacking evidence flags missing result, date or setup.</x:v>
      </x:c>
      <x:c r="H26" s="44" t="str">
        <x:v>Completion = Done / (All cases minus N/A). Blocked cases still count. Done lacking evidence flags missing result, date or setup.</x:v>
      </x:c>
      <x:c r="I26" s="44" t="str">
        <x:v>Completion = Done / (All cases minus N/A). Blocked cases still count. Done lacking evidence flags missing result, date or setup.</x:v>
      </x:c>
      <x:c r="J26" s="44" t="str">
        <x:v>Completion = Done / (All cases minus N/A). Blocked cases still count. Done lacking evidence flags missing result, date or setup.</x:v>
      </x:c>
    </x:row>
    <x:row r="27">
      <x:c r="A27" s="4"/>
      <x:c r="B27" s="4"/>
      <x:c r="C27" s="4"/>
      <x:c r="D27" s="4"/>
      <x:c r="E27" s="4"/>
      <x:c r="F27" s="4"/>
      <x:c r="G27" s="4"/>
      <x:c r="H27" s="4"/>
      <x:c r="I27" s="4"/>
      <x:c r="J27" s="4"/>
    </x:row>
    <x:row r="28">
      <x:c r="A28" s="4"/>
      <x:c r="B28" s="4"/>
      <x:c r="C28" s="4"/>
      <x:c r="D28" s="4"/>
      <x:c r="E28" s="4"/>
      <x:c r="F28" s="4"/>
      <x:c r="G28" s="4"/>
      <x:c r="H28" s="4"/>
      <x:c r="I28" s="4"/>
      <x:c r="J28" s="4"/>
    </x:row>
    <x:row r="29">
      <x:c r="A29" s="28" t="str">
        <x:v>STATUS KEY</x:v>
      </x:c>
      <x:c r="B29" s="28" t="str">
        <x:v>STATUS KEY</x:v>
      </x:c>
      <x:c r="C29" s="28" t="str">
        <x:v>STATUS KEY</x:v>
      </x:c>
      <x:c r="D29" s="28" t="str">
        <x:v>STATUS KEY</x:v>
      </x:c>
      <x:c r="E29" s="28" t="str">
        <x:v>STATUS KEY</x:v>
      </x:c>
      <x:c r="F29" s="28" t="str">
        <x:v>WORKING RULES</x:v>
      </x:c>
      <x:c r="G29" s="28" t="str">
        <x:v>WORKING RULES</x:v>
      </x:c>
      <x:c r="H29" s="28" t="str">
        <x:v>WORKING RULES</x:v>
      </x:c>
      <x:c r="I29" s="28" t="str">
        <x:v>WORKING RULES</x:v>
      </x:c>
      <x:c r="J29" s="28" t="str">
        <x:v>WORKING RULES</x:v>
      </x:c>
    </x:row>
    <x:row r="30" ht="25" customHeight="1">
      <x:c r="A30" s="19" t="str">
        <x:v>Pending</x:v>
      </x:c>
      <x:c r="B30" s="46" t="str">
        <x:v>Not run in this campaign</x:v>
      </x:c>
      <x:c r="C30" s="46" t="str">
        <x:v>Not run in this campaign</x:v>
      </x:c>
      <x:c r="D30" s="46" t="str">
        <x:v>Not run in this campaign</x:v>
      </x:c>
      <x:c r="E30" s="46" t="str">
        <x:v>Not run in this campaign</x:v>
      </x:c>
      <x:c r="F30" s="8" t="str">
        <x:v>P0: build, reset, basic behavior and critical boundary checks. P1: broader functional cases. P2: stress and implementation review.</x:v>
      </x:c>
      <x:c r="G30" s="8" t="str">
        <x:v>P0: build, reset, basic behavior and critical boundary checks. P1: broader functional cases. P2: stress and implementation review.</x:v>
      </x:c>
      <x:c r="H30" s="8" t="str">
        <x:v>P0: build, reset, basic behavior and critical boundary checks. P1: broader functional cases. P2: stress and implementation review.</x:v>
      </x:c>
      <x:c r="I30" s="8" t="str">
        <x:v>P0: build, reset, basic behavior and critical boundary checks. P1: broader functional cases. P2: stress and implementation review.</x:v>
      </x:c>
      <x:c r="J30" s="8" t="str">
        <x:v>P0: build, reset, basic behavior and critical boundary checks. P1: broader functional cases. P2: stress and implementation review.</x:v>
      </x:c>
    </x:row>
    <x:row r="31" ht="25" customHeight="1">
      <x:c r="A31" s="48" t="str">
        <x:v>In progress</x:v>
      </x:c>
      <x:c r="B31" s="46" t="str">
        <x:v>Being implemented or run</x:v>
      </x:c>
      <x:c r="C31" s="46" t="str">
        <x:v>Being implemented or run</x:v>
      </x:c>
      <x:c r="D31" s="46" t="str">
        <x:v>Being implemented or run</x:v>
      </x:c>
      <x:c r="E31" s="46" t="str">
        <x:v>Being implemented or run</x:v>
      </x:c>
      <x:c r="F31" s="8" t="str">
        <x:v>P0: build, reset, basic behavior and critical boundary checks. P1: broader functional cases. P2: stress and implementation review.</x:v>
      </x:c>
      <x:c r="G31" s="8" t="str">
        <x:v>P0: build, reset, basic behavior and critical boundary checks. P1: broader functional cases. P2: stress and implementation review.</x:v>
      </x:c>
      <x:c r="H31" s="8" t="str">
        <x:v>P0: build, reset, basic behavior and critical boundary checks. P1: broader functional cases. P2: stress and implementation review.</x:v>
      </x:c>
      <x:c r="I31" s="8" t="str">
        <x:v>P0: build, reset, basic behavior and critical boundary checks. P1: broader functional cases. P2: stress and implementation review.</x:v>
      </x:c>
      <x:c r="J31" s="8" t="str">
        <x:v>P0: build, reset, basic behavior and critical boundary checks. P1: broader functional cases. P2: stress and implementation review.</x:v>
      </x:c>
    </x:row>
    <x:row r="32" ht="25" customHeight="1">
      <x:c r="A32" s="50" t="str">
        <x:v>Done</x:v>
      </x:c>
      <x:c r="B32" s="46" t="str">
        <x:v>Executed and passed; run evidence recorded</x:v>
      </x:c>
      <x:c r="C32" s="46" t="str">
        <x:v>Executed and passed; run evidence recorded</x:v>
      </x:c>
      <x:c r="D32" s="46" t="str">
        <x:v>Executed and passed; run evidence recorded</x:v>
      </x:c>
      <x:c r="E32" s="46" t="str">
        <x:v>Executed and passed; run evidence recorded</x:v>
      </x:c>
      <x:c r="F32" s="8" t="str">
        <x:v>Use actual RTL names and pre-edge acceptance. Sample registered results after nonblocking updates settle.</x:v>
      </x:c>
      <x:c r="G32" s="8" t="str">
        <x:v>Use actual RTL names and pre-edge acceptance. Sample registered results after nonblocking updates settle.</x:v>
      </x:c>
      <x:c r="H32" s="8" t="str">
        <x:v>Use actual RTL names and pre-edge acceptance. Sample registered results after nonblocking updates settle.</x:v>
      </x:c>
      <x:c r="I32" s="8" t="str">
        <x:v>Use actual RTL names and pre-edge acceptance. Sample registered results after nonblocking updates settle.</x:v>
      </x:c>
      <x:c r="J32" s="8" t="str">
        <x:v>Use actual RTL names and pre-edge acceptance. Sample registered results after nonblocking updates settle.</x:v>
      </x:c>
    </x:row>
    <x:row r="33" ht="25" customHeight="1">
      <x:c r="A33" s="52" t="str">
        <x:v>Failed</x:v>
      </x:c>
      <x:c r="B33" s="46" t="str">
        <x:v>Mismatch or timeout observed</x:v>
      </x:c>
      <x:c r="C33" s="46" t="str">
        <x:v>Mismatch or timeout observed</x:v>
      </x:c>
      <x:c r="D33" s="46" t="str">
        <x:v>Mismatch or timeout observed</x:v>
      </x:c>
      <x:c r="E33" s="46" t="str">
        <x:v>Mismatch or timeout observed</x:v>
      </x:c>
      <x:c r="F33" s="8" t="str">
        <x:v>Use actual RTL names and pre-edge acceptance. Sample registered results after nonblocking updates settle.</x:v>
      </x:c>
      <x:c r="G33" s="8" t="str">
        <x:v>Use actual RTL names and pre-edge acceptance. Sample registered results after nonblocking updates settle.</x:v>
      </x:c>
      <x:c r="H33" s="8" t="str">
        <x:v>Use actual RTL names and pre-edge acceptance. Sample registered results after nonblocking updates settle.</x:v>
      </x:c>
      <x:c r="I33" s="8" t="str">
        <x:v>Use actual RTL names and pre-edge acceptance. Sample registered results after nonblocking updates settle.</x:v>
      </x:c>
      <x:c r="J33" s="8" t="str">
        <x:v>Use actual RTL names and pre-edge acceptance. Sample registered results after nonblocking updates settle.</x:v>
      </x:c>
    </x:row>
    <x:row r="34" ht="25" customHeight="1">
      <x:c r="A34" s="23" t="str">
        <x:v>Blocked</x:v>
      </x:c>
      <x:c r="B34" s="46" t="str">
        <x:v>Missing implementation, tool or agreed contract</x:v>
      </x:c>
      <x:c r="C34" s="46" t="str">
        <x:v>Missing implementation, tool or agreed contract</x:v>
      </x:c>
      <x:c r="D34" s="46" t="str">
        <x:v>Missing implementation, tool or agreed contract</x:v>
      </x:c>
      <x:c r="E34" s="46" t="str">
        <x:v>Missing implementation, tool or agreed contract</x:v>
      </x:c>
      <x:c r="F34" s="8" t="str">
        <x:v>Record the tested commit, simulator/version, parameters, seed, log and waveform. Return affected Done cases to Pending after RTL changes.</x:v>
      </x:c>
      <x:c r="G34" s="8" t="str">
        <x:v>Record the tested commit, simulator/version, parameters, seed, log and waveform. Return affected Done cases to Pending after RTL changes.</x:v>
      </x:c>
      <x:c r="H34" s="8" t="str">
        <x:v>Record the tested commit, simulator/version, parameters, seed, log and waveform. Return affected Done cases to Pending after RTL changes.</x:v>
      </x:c>
      <x:c r="I34" s="8" t="str">
        <x:v>Record the tested commit, simulator/version, parameters, seed, log and waveform. Return affected Done cases to Pending after RTL changes.</x:v>
      </x:c>
      <x:c r="J34" s="8" t="str">
        <x:v>Record the tested commit, simulator/version, parameters, seed, log and waveform. Return affected Done cases to Pending after RTL changes.</x:v>
      </x:c>
    </x:row>
    <x:row r="35" ht="25" customHeight="1">
      <x:c r="A35" s="54" t="str">
        <x:v>N/A</x:v>
      </x:c>
      <x:c r="B35" s="46" t="str">
        <x:v>Excluded with a written reason</x:v>
      </x:c>
      <x:c r="C35" s="46" t="str">
        <x:v>Excluded with a written reason</x:v>
      </x:c>
      <x:c r="D35" s="46" t="str">
        <x:v>Excluded with a written reason</x:v>
      </x:c>
      <x:c r="E35" s="46" t="str">
        <x:v>Excluded with a written reason</x:v>
      </x:c>
      <x:c r="F35" s="8" t="str">
        <x:v>Record the tested commit, simulator/version, parameters, seed, log and waveform. Return affected Done cases to Pending after RTL changes.</x:v>
      </x:c>
      <x:c r="G35" s="8" t="str">
        <x:v>Record the tested commit, simulator/version, parameters, seed, log and waveform. Return affected Done cases to Pending after RTL changes.</x:v>
      </x:c>
      <x:c r="H35" s="8" t="str">
        <x:v>Record the tested commit, simulator/version, parameters, seed, log and waveform. Return affected Done cases to Pending after RTL changes.</x:v>
      </x:c>
      <x:c r="I35" s="8" t="str">
        <x:v>Record the tested commit, simulator/version, parameters, seed, log and waveform. Return affected Done cases to Pending after RTL changes.</x:v>
      </x:c>
      <x:c r="J35" s="8" t="str">
        <x:v>Record the tested commit, simulator/version, parameters, seed, log and waveform. Return affected Done cases to Pending after RTL changes.</x:v>
      </x:c>
    </x:row>
    <x:row r="36" ht="25" customHeight="1">
      <x:c r="A36" s="4"/>
      <x:c r="B36" s="4"/>
      <x:c r="C36" s="4"/>
      <x:c r="D36" s="4"/>
      <x:c r="E36" s="4"/>
      <x:c r="F36" s="8" t="str">
        <x:v>Read VERIFICATION_PLAN.md for timing differences and known source findings. RTL map links every reviewed HDL file.</x:v>
      </x:c>
      <x:c r="G36" s="8" t="str">
        <x:v>Read VERIFICATION_PLAN.md for timing differences and known source findings. RTL map links every reviewed HDL file.</x:v>
      </x:c>
      <x:c r="H36" s="8" t="str">
        <x:v>Read VERIFICATION_PLAN.md for timing differences and known source findings. RTL map links every reviewed HDL file.</x:v>
      </x:c>
      <x:c r="I36" s="8" t="str">
        <x:v>Read VERIFICATION_PLAN.md for timing differences and known source findings. RTL map links every reviewed HDL file.</x:v>
      </x:c>
      <x:c r="J36" s="8" t="str">
        <x:v>Read VERIFICATION_PLAN.md for timing differences and known source findings. RTL map links every reviewed HDL file.</x:v>
      </x:c>
    </x:row>
    <x:row r="37" ht="25" customHeight="1">
      <x:c r="A37" s="4"/>
      <x:c r="B37" s="4"/>
      <x:c r="C37" s="4"/>
      <x:c r="D37" s="4"/>
      <x:c r="E37" s="4"/>
      <x:c r="F37" s="8" t="str">
        <x:v>Read VERIFICATION_PLAN.md for timing differences and known source findings. RTL map links every reviewed HDL file.</x:v>
      </x:c>
      <x:c r="G37" s="8" t="str">
        <x:v>Read VERIFICATION_PLAN.md for timing differences and known source findings. RTL map links every reviewed HDL file.</x:v>
      </x:c>
      <x:c r="H37" s="8" t="str">
        <x:v>Read VERIFICATION_PLAN.md for timing differences and known source findings. RTL map links every reviewed HDL file.</x:v>
      </x:c>
      <x:c r="I37" s="8" t="str">
        <x:v>Read VERIFICATION_PLAN.md for timing differences and known source findings. RTL map links every reviewed HDL file.</x:v>
      </x:c>
      <x:c r="J37" s="8" t="str">
        <x:v>Read VERIFICATION_PLAN.md for timing differences and known source findings. RTL map links every reviewed HDL file.</x:v>
      </x:c>
    </x:row>
    <x:row r="38">
      <x:c r="A38" s="4"/>
      <x:c r="B38" s="4"/>
      <x:c r="C38" s="4"/>
      <x:c r="D38" s="4"/>
      <x:c r="E38" s="4"/>
      <x:c r="F38" s="4"/>
      <x:c r="G38" s="4"/>
      <x:c r="H38" s="4"/>
      <x:c r="I38" s="4"/>
      <x:c r="J38" s="4"/>
    </x:row>
    <x:row r="39">
      <x:c r="A39" s="28" t="str">
        <x:v>SOURCE REVIEW ≠ EXECUTED VERIFICATION</x:v>
      </x:c>
      <x:c r="B39" s="28" t="str">
        <x:v>SOURCE REVIEW ≠ EXECUTED VERIFICATION</x:v>
      </x:c>
      <x:c r="C39" s="28" t="str">
        <x:v>SOURCE REVIEW ≠ EXECUTED VERIFICATION</x:v>
      </x:c>
      <x:c r="D39" s="28" t="str">
        <x:v>SOURCE REVIEW ≠ EXECUTED VERIFICATION</x:v>
      </x:c>
      <x:c r="E39" s="28" t="str">
        <x:v>SOURCE REVIEW ≠ EXECUTED VERIFICATION</x:v>
      </x:c>
      <x:c r="F39" s="28" t="str">
        <x:v>SOURCE REVIEW ≠ EXECUTED VERIFICATION</x:v>
      </x:c>
      <x:c r="G39" s="28" t="str">
        <x:v>SOURCE REVIEW ≠ EXECUTED VERIFICATION</x:v>
      </x:c>
      <x:c r="H39" s="28" t="str">
        <x:v>SOURCE REVIEW ≠ EXECUTED VERIFICATION</x:v>
      </x:c>
      <x:c r="I39" s="28" t="str">
        <x:v>SOURCE REVIEW ≠ EXECUTED VERIFICATION</x:v>
      </x:c>
      <x:c r="J39" s="28" t="str">
        <x:v>SOURCE REVIEW ≠ EXECUTED VERIFICATION</x:v>
      </x:c>
    </x:row>
    <x:row r="40">
      <x:c r="A40" s="8" t="str">
        <x:v>Cases describe test intent, not generated testbench code. Learning exercises include starter checks; protocol and CDC examples need their stated contracts and dependencies. Use a finite timeout and an independent expected result.</x:v>
      </x:c>
      <x:c r="B40" s="8" t="str">
        <x:v>Cases describe test intent, not generated testbench code. Learning exercises include starter checks; protocol and CDC examples need their stated contracts and dependencies. Use a finite timeout and an independent expected result.</x:v>
      </x:c>
      <x:c r="C40" s="8" t="str">
        <x:v>Cases describe test intent, not generated testbench code. Learning exercises include starter checks; protocol and CDC examples need their stated contracts and dependencies. Use a finite timeout and an independent expected result.</x:v>
      </x:c>
      <x:c r="D40" s="8" t="str">
        <x:v>Cases describe test intent, not generated testbench code. Learning exercises include starter checks; protocol and CDC examples need their stated contracts and dependencies. Use a finite timeout and an independent expected result.</x:v>
      </x:c>
      <x:c r="E40" s="8" t="str">
        <x:v>Cases describe test intent, not generated testbench code. Learning exercises include starter checks; protocol and CDC examples need their stated contracts and dependencies. Use a finite timeout and an independent expected result.</x:v>
      </x:c>
      <x:c r="F40" s="8" t="str">
        <x:v>Cases describe test intent, not generated testbench code. Learning exercises include starter checks; protocol and CDC examples need their stated contracts and dependencies. Use a finite timeout and an independent expected result.</x:v>
      </x:c>
      <x:c r="G40" s="8" t="str">
        <x:v>Cases describe test intent, not generated testbench code. Learning exercises include starter checks; protocol and CDC examples need their stated contracts and dependencies. Use a finite timeout and an independent expected result.</x:v>
      </x:c>
      <x:c r="H40" s="8" t="str">
        <x:v>Cases describe test intent, not generated testbench code. Learning exercises include starter checks; protocol and CDC examples need their stated contracts and dependencies. Use a finite timeout and an independent expected result.</x:v>
      </x:c>
      <x:c r="I40" s="8" t="str">
        <x:v>Cases describe test intent, not generated testbench code. Learning exercises include starter checks; protocol and CDC examples need their stated contracts and dependencies. Use a finite timeout and an independent expected result.</x:v>
      </x:c>
      <x:c r="J40" s="8" t="str">
        <x:v>Cases describe test intent, not generated testbench code. Learning exercises include starter checks; protocol and CDC examples need their stated contracts and dependencies. Use a finite timeout and an independent expected result.</x:v>
      </x:c>
    </x:row>
    <x:row r="41">
      <x:c r="A41" s="8" t="str">
        <x:v>Cases describe test intent, not generated testbench code. Learning exercises include starter checks; protocol and CDC examples need their stated contracts and dependencies. Use a finite timeout and an independent expected result.</x:v>
      </x:c>
      <x:c r="B41" s="8" t="str">
        <x:v>Cases describe test intent, not generated testbench code. Learning exercises include starter checks; protocol and CDC examples need their stated contracts and dependencies. Use a finite timeout and an independent expected result.</x:v>
      </x:c>
      <x:c r="C41" s="8" t="str">
        <x:v>Cases describe test intent, not generated testbench code. Learning exercises include starter checks; protocol and CDC examples need their stated contracts and dependencies. Use a finite timeout and an independent expected result.</x:v>
      </x:c>
      <x:c r="D41" s="8" t="str">
        <x:v>Cases describe test intent, not generated testbench code. Learning exercises include starter checks; protocol and CDC examples need their stated contracts and dependencies. Use a finite timeout and an independent expected result.</x:v>
      </x:c>
      <x:c r="E41" s="8" t="str">
        <x:v>Cases describe test intent, not generated testbench code. Learning exercises include starter checks; protocol and CDC examples need their stated contracts and dependencies. Use a finite timeout and an independent expected result.</x:v>
      </x:c>
      <x:c r="F41" s="8" t="str">
        <x:v>Cases describe test intent, not generated testbench code. Learning exercises include starter checks; protocol and CDC examples need their stated contracts and dependencies. Use a finite timeout and an independent expected result.</x:v>
      </x:c>
      <x:c r="G41" s="8" t="str">
        <x:v>Cases describe test intent, not generated testbench code. Learning exercises include starter checks; protocol and CDC examples need their stated contracts and dependencies. Use a finite timeout and an independent expected result.</x:v>
      </x:c>
      <x:c r="H41" s="8" t="str">
        <x:v>Cases describe test intent, not generated testbench code. Learning exercises include starter checks; protocol and CDC examples need their stated contracts and dependencies. Use a finite timeout and an independent expected result.</x:v>
      </x:c>
      <x:c r="I41" s="8" t="str">
        <x:v>Cases describe test intent, not generated testbench code. Learning exercises include starter checks; protocol and CDC examples need their stated contracts and dependencies. Use a finite timeout and an independent expected result.</x:v>
      </x:c>
      <x:c r="J41" s="8" t="str">
        <x:v>Cases describe test intent, not generated testbench code. Learning exercises include starter checks; protocol and CDC examples need their stated contracts and dependencies. Use a finite timeout and an independent expected result.</x:v>
      </x:c>
    </x:row>
    <x:row r="42">
      <x:c r="A42" s="4"/>
      <x:c r="B42" s="4"/>
      <x:c r="C42" s="4"/>
      <x:c r="D42" s="4"/>
      <x:c r="E42" s="4"/>
      <x:c r="F42" s="4"/>
      <x:c r="G42" s="4"/>
      <x:c r="H42" s="4"/>
      <x:c r="I42" s="4"/>
      <x:c r="J42" s="4"/>
    </x:row>
    <x:row r="43">
      <x:c r="A43" s="4"/>
      <x:c r="B43" s="4"/>
      <x:c r="C43" s="4"/>
      <x:c r="D43" s="4"/>
      <x:c r="E43" s="4"/>
      <x:c r="F43" s="4"/>
      <x:c r="G43" s="4"/>
      <x:c r="H43" s="4"/>
      <x:c r="I43" s="4"/>
      <x:c r="J43" s="4"/>
    </x:row>
    <x:row r="44">
      <x:c r="A44" s="4"/>
      <x:c r="B44" s="4"/>
      <x:c r="C44" s="4"/>
      <x:c r="D44" s="4"/>
      <x:c r="E44" s="4"/>
      <x:c r="F44" s="4"/>
      <x:c r="G44" s="4"/>
      <x:c r="H44" s="4"/>
      <x:c r="I44" s="4"/>
      <x:c r="J44" s="4"/>
    </x:row>
    <x:row r="45">
      <x:c r="A45" s="4"/>
      <x:c r="B45" s="4"/>
      <x:c r="C45" s="4"/>
      <x:c r="D45" s="4"/>
      <x:c r="E45" s="4"/>
      <x:c r="F45" s="4"/>
      <x:c r="G45" s="4"/>
      <x:c r="H45" s="4"/>
      <x:c r="I45" s="4"/>
      <x:c r="J45" s="4"/>
    </x:row>
  </x:sheetData>
  <x:mergeCells>
    <x:mergeCell ref="A1:J2"/>
    <x:mergeCell ref="A3:J3"/>
    <x:mergeCell ref="A5:J5"/>
    <x:mergeCell ref="A6:J6"/>
    <x:mergeCell ref="A7:J7"/>
    <x:mergeCell ref="A26:J26"/>
    <x:mergeCell ref="A29:E29"/>
    <x:mergeCell ref="B30:E30"/>
    <x:mergeCell ref="B31:E31"/>
    <x:mergeCell ref="B32:E32"/>
    <x:mergeCell ref="B33:E33"/>
    <x:mergeCell ref="B34:E34"/>
    <x:mergeCell ref="B35:E35"/>
    <x:mergeCell ref="F29:J29"/>
    <x:mergeCell ref="F30:J31"/>
    <x:mergeCell ref="F32:J33"/>
    <x:mergeCell ref="F34:J35"/>
    <x:mergeCell ref="F36:J37"/>
    <x:mergeCell ref="A39:J39"/>
    <x:mergeCell ref="A40:J41"/>
  </x:mergeCells>
  <x:conditionalFormatting sqref="J10:J24">
    <x:cfRule type="cellIs" dxfId="8"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146C78"/>
  </x:sheetPr>
  <x:sheetViews>
    <x:sheetView showGridLines="0" workbookViewId="0">
      <x:pane xSplit="3" ySplit="7" topLeftCell="D8" activePane="bottomRight" state="frozen"/>
    </x:sheetView>
  </x:sheetViews>
  <x:sheetFormatPr defaultRowHeight="15"/>
  <x:cols>
    <x:col min="1" max="1" width="13" hidden="0" customWidth="1"/>
    <x:col min="2" max="2" width="16" hidden="0" customWidth="1"/>
    <x:col min="3" max="3" width="11" hidden="0" customWidth="1"/>
    <x:col min="4" max="4" width="27" hidden="0" customWidth="1"/>
    <x:col min="5" max="5" width="24" hidden="0" customWidth="1"/>
    <x:col min="6" max="6" width="42" hidden="0" customWidth="1"/>
    <x:col min="7" max="7" width="48" hidden="0" customWidth="1"/>
    <x:col min="8" max="8" width="76" hidden="0" customWidth="1"/>
    <x:col min="9" max="9" width="84" hidden="0" customWidth="1"/>
    <x:col min="10" max="10" width="60" hidden="0" customWidth="1"/>
    <x:col min="11" max="11" width="16" hidden="0" customWidth="1"/>
    <x:col min="12" max="12" width="62" hidden="0" customWidth="1"/>
    <x:col min="13" max="13" width="58" hidden="0" customWidth="1"/>
    <x:col min="14" max="14" width="64" hidden="0" customWidth="1"/>
    <x:col min="15" max="15" width="74" hidden="0" customWidth="1"/>
    <x:col min="16" max="16" width="24" hidden="0" customWidth="1"/>
    <x:col min="17" max="17" width="44" hidden="0" customWidth="1"/>
  </x:cols>
  <x:sheetData>
    <x:row r="1">
      <x:c r="A1" s="6" t="str">
        <x:v>VERILOG / TEST CASES</x:v>
      </x:c>
      <x:c r="B1" s="6" t="str">
        <x:v>VERILOG / TEST CASES</x:v>
      </x:c>
      <x:c r="C1" s="6" t="str">
        <x:v>VERILOG / TEST CASES</x:v>
      </x:c>
      <x:c r="D1" s="6" t="str">
        <x:v>VERILOG / TEST CASES</x:v>
      </x:c>
      <x:c r="E1" s="6" t="str">
        <x:v>VERILOG / TEST CASES</x:v>
      </x:c>
      <x:c r="F1" s="6" t="str">
        <x:v>VERILOG / TEST CASES</x:v>
      </x:c>
      <x:c r="G1" s="6" t="str">
        <x:v>VERILOG / TEST CASES</x:v>
      </x:c>
      <x:c r="H1" s="6" t="str">
        <x:v>VERILOG / TEST CASES</x:v>
      </x:c>
      <x:c r="I1" s="6" t="str">
        <x:v>VERILOG / TEST CASES</x:v>
      </x:c>
      <x:c r="J1" s="10" t="str">
        <x:v>YOUR RUN RECORD</x:v>
      </x:c>
      <x:c r="K1" s="10" t="str">
        <x:v>YOUR RUN RECORD</x:v>
      </x:c>
      <x:c r="L1" s="10" t="str">
        <x:v>YOUR RUN RECORD</x:v>
      </x:c>
      <x:c r="M1" s="10" t="str">
        <x:v>YOUR RUN RECORD</x:v>
      </x:c>
      <x:c r="N1" s="10" t="str">
        <x:v>YOUR RUN RECORD</x:v>
      </x:c>
      <x:c r="O1" s="10" t="str">
        <x:v>YOUR RUN RECORD</x:v>
      </x:c>
      <x:c r="P1" s="10" t="str">
        <x:v>YOUR RUN RECORD</x:v>
      </x:c>
      <x:c r="Q1" s="10" t="str">
        <x:v>YOUR RUN RECORD</x:v>
      </x:c>
    </x:row>
    <x:row r="2">
      <x:c r="A2" s="6" t="str">
        <x:v>VERILOG / TEST CASES</x:v>
      </x:c>
      <x:c r="B2" s="6" t="str">
        <x:v>VERILOG / TEST CASES</x:v>
      </x:c>
      <x:c r="C2" s="6" t="str">
        <x:v>VERILOG / TEST CASES</x:v>
      </x:c>
      <x:c r="D2" s="6" t="str">
        <x:v>VERILOG / TEST CASES</x:v>
      </x:c>
      <x:c r="E2" s="6" t="str">
        <x:v>VERILOG / TEST CASES</x:v>
      </x:c>
      <x:c r="F2" s="6" t="str">
        <x:v>VERILOG / TEST CASES</x:v>
      </x:c>
      <x:c r="G2" s="6" t="str">
        <x:v>VERILOG / TEST CASES</x:v>
      </x:c>
      <x:c r="H2" s="6" t="str">
        <x:v>VERILOG / TEST CASES</x:v>
      </x:c>
      <x:c r="I2" s="6" t="str">
        <x:v>VERILOG / TEST CASES</x:v>
      </x:c>
      <x:c r="J2" s="10" t="str">
        <x:v>YOUR RUN RECORD</x:v>
      </x:c>
      <x:c r="K2" s="10" t="str">
        <x:v>YOUR RUN RECORD</x:v>
      </x:c>
      <x:c r="L2" s="10" t="str">
        <x:v>YOUR RUN RECORD</x:v>
      </x:c>
      <x:c r="M2" s="10" t="str">
        <x:v>YOUR RUN RECORD</x:v>
      </x:c>
      <x:c r="N2" s="10" t="str">
        <x:v>YOUR RUN RECORD</x:v>
      </x:c>
      <x:c r="O2" s="10" t="str">
        <x:v>YOUR RUN RECORD</x:v>
      </x:c>
      <x:c r="P2" s="10" t="str">
        <x:v>YOUR RUN RECORD</x:v>
      </x:c>
      <x:c r="Q2" s="10" t="str">
        <x:v>YOUR RUN RECORD</x:v>
      </x:c>
    </x:row>
    <x:row r="3" ht="26" customHeight="1">
      <x:c r="A3" s="8" t="str">
        <x:v>644 cases  |  Review: 2026-09-22  |  Filter Repository, Priority, Block and Status to choose a run.</x:v>
      </x:c>
      <x:c r="B3" s="8" t="str">
        <x:v>644 cases  |  Review: 2026-09-22  |  Filter Repository, Priority, Block and Status to choose a run.</x:v>
      </x:c>
      <x:c r="C3" s="8" t="str">
        <x:v>644 cases  |  Review: 2026-09-22  |  Filter Repository, Priority, Block and Status to choose a run.</x:v>
      </x:c>
      <x:c r="D3" s="8" t="str">
        <x:v>644 cases  |  Review: 2026-09-22  |  Filter Repository, Priority, Block and Status to choose a run.</x:v>
      </x:c>
      <x:c r="E3" s="8" t="str">
        <x:v>644 cases  |  Review: 2026-09-22  |  Filter Repository, Priority, Block and Status to choose a run.</x:v>
      </x:c>
      <x:c r="F3" s="8" t="str">
        <x:v>644 cases  |  Review: 2026-09-22  |  Filter Repository, Priority, Block and Status to choose a run.</x:v>
      </x:c>
      <x:c r="G3" s="8" t="str">
        <x:v>644 cases  |  Review: 2026-09-22  |  Filter Repository, Priority, Block and Status to choose a run.</x:v>
      </x:c>
      <x:c r="H3" s="8" t="str">
        <x:v>644 cases  |  Review: 2026-09-22  |  Filter Repository, Priority, Block and Status to choose a run.</x:v>
      </x:c>
      <x:c r="I3" s="8" t="str">
        <x:v>644 cases  |  Review: 2026-09-22  |  Filter Repository, Priority, Block and Status to choose a run.</x:v>
      </x:c>
      <x:c r="J3" s="8" t="str">
        <x:v>Edit Status and the pale yellow fields. Record result + log/waveform, date, simulator, parameters, seed and tested commit. For multi-file cases, complete every listed variant before marking Done.</x:v>
      </x:c>
      <x:c r="K3" s="8" t="str">
        <x:v>Edit Status and the pale yellow fields. Record result + log/waveform, date, simulator, parameters, seed and tested commit. For multi-file cases, complete every listed variant before marking Done.</x:v>
      </x:c>
      <x:c r="L3" s="8" t="str">
        <x:v>Edit Status and the pale yellow fields. Record result + log/waveform, date, simulator, parameters, seed and tested commit. For multi-file cases, complete every listed variant before marking Done.</x:v>
      </x:c>
      <x:c r="M3" s="8" t="str">
        <x:v>Edit Status and the pale yellow fields. Record result + log/waveform, date, simulator, parameters, seed and tested commit. For multi-file cases, complete every listed variant before marking Done.</x:v>
      </x:c>
      <x:c r="N3" s="8" t="str">
        <x:v>Edit Status and the pale yellow fields. Record result + log/waveform, date, simulator, parameters, seed and tested commit. For multi-file cases, complete every listed variant before marking Done.</x:v>
      </x:c>
      <x:c r="O3" s="8" t="str">
        <x:v>Edit Status and the pale yellow fields. Record result + log/waveform, date, simulator, parameters, seed and tested commit. For multi-file cases, complete every listed variant before marking Done.</x:v>
      </x:c>
      <x:c r="P3" s="8" t="str">
        <x:v>Edit Status and the pale yellow fields. Record result + log/waveform, date, simulator, parameters, seed and tested commit. For multi-file cases, complete every listed variant before marking Done.</x:v>
      </x:c>
      <x:c r="Q3" s="8" t="str">
        <x:v>Edit Status and the pale yellow fields. Record result + log/waveform, date, simulator, parameters, seed and tested commit. For multi-file cases, complete every listed variant before marking Done.</x:v>
      </x:c>
    </x:row>
    <x:row r="4" ht="26" customHeight="1">
      <x:c r="A4" s="8" t="str">
        <x:v>Start with P0. Read stimulus and expected timing together. Pending = not run; Done = passed with evidence.</x:v>
      </x:c>
      <x:c r="B4" s="8" t="str">
        <x:v>Start with P0. Read stimulus and expected timing together. Pending = not run; Done = passed with evidence.</x:v>
      </x:c>
      <x:c r="C4" s="8" t="str">
        <x:v>Start with P0. Read stimulus and expected timing together. Pending = not run; Done = passed with evidence.</x:v>
      </x:c>
      <x:c r="D4" s="8" t="str">
        <x:v>Start with P0. Read stimulus and expected timing together. Pending = not run; Done = passed with evidence.</x:v>
      </x:c>
      <x:c r="E4" s="8" t="str">
        <x:v>Start with P0. Read stimulus and expected timing together. Pending = not run; Done = passed with evidence.</x:v>
      </x:c>
      <x:c r="F4" s="8" t="str">
        <x:v>Start with P0. Read stimulus and expected timing together. Pending = not run; Done = passed with evidence.</x:v>
      </x:c>
      <x:c r="G4" s="8" t="str">
        <x:v>Start with P0. Read stimulus and expected timing together. Pending = not run; Done = passed with evidence.</x:v>
      </x:c>
      <x:c r="H4" s="8" t="str">
        <x:v>Start with P0. Read stimulus and expected timing together. Pending = not run; Done = passed with evidence.</x:v>
      </x:c>
      <x:c r="I4" s="8" t="str">
        <x:v>Start with P0. Read stimulus and expected timing together. Pending = not run; Done = passed with evidence.</x:v>
      </x:c>
      <x:c r="J4" s="8" t="str">
        <x:v>Edit Status and the pale yellow fields. Record result + log/waveform, date, simulator, parameters, seed and tested commit. For multi-file cases, complete every listed variant before marking Done.</x:v>
      </x:c>
      <x:c r="K4" s="8" t="str">
        <x:v>Edit Status and the pale yellow fields. Record result + log/waveform, date, simulator, parameters, seed and tested commit. For multi-file cases, complete every listed variant before marking Done.</x:v>
      </x:c>
      <x:c r="L4" s="8" t="str">
        <x:v>Edit Status and the pale yellow fields. Record result + log/waveform, date, simulator, parameters, seed and tested commit. For multi-file cases, complete every listed variant before marking Done.</x:v>
      </x:c>
      <x:c r="M4" s="8" t="str">
        <x:v>Edit Status and the pale yellow fields. Record result + log/waveform, date, simulator, parameters, seed and tested commit. For multi-file cases, complete every listed variant before marking Done.</x:v>
      </x:c>
      <x:c r="N4" s="8" t="str">
        <x:v>Edit Status and the pale yellow fields. Record result + log/waveform, date, simulator, parameters, seed and tested commit. For multi-file cases, complete every listed variant before marking Done.</x:v>
      </x:c>
      <x:c r="O4" s="8" t="str">
        <x:v>Edit Status and the pale yellow fields. Record result + log/waveform, date, simulator, parameters, seed and tested commit. For multi-file cases, complete every listed variant before marking Done.</x:v>
      </x:c>
      <x:c r="P4" s="8" t="str">
        <x:v>Edit Status and the pale yellow fields. Record result + log/waveform, date, simulator, parameters, seed and tested commit. For multi-file cases, complete every listed variant before marking Done.</x:v>
      </x:c>
      <x:c r="Q4" s="8" t="str">
        <x:v>Edit Status and the pale yellow fields. Record result + log/waveform, date, simulator, parameters, seed and tested commit. For multi-file cases, complete every listed variant before marking Done.</x:v>
      </x:c>
    </x:row>
    <x:row r="5">
      <x:c r="A5" s="4"/>
      <x:c r="B5" s="4"/>
      <x:c r="C5" s="4"/>
      <x:c r="D5" s="4"/>
      <x:c r="E5" s="4"/>
      <x:c r="F5" s="4"/>
      <x:c r="G5" s="4"/>
      <x:c r="H5" s="4"/>
      <x:c r="I5" s="4"/>
      <x:c r="J5" s="4"/>
      <x:c r="K5" s="4"/>
      <x:c r="L5" s="4"/>
      <x:c r="M5" s="4"/>
      <x:c r="N5" s="4"/>
      <x:c r="O5" s="4"/>
      <x:c r="P5" s="4"/>
      <x:c r="Q5" s="4"/>
    </x:row>
    <x:row r="6">
      <x:c r="A6" s="11" t="str">
        <x:v>REFERENCE PLAN  ·  source reviewed, no simulations executed</x:v>
      </x:c>
      <x:c r="B6" s="11"/>
      <x:c r="C6" s="11"/>
      <x:c r="D6" s="11"/>
      <x:c r="E6" s="11"/>
      <x:c r="F6" s="11"/>
      <x:c r="G6" s="11"/>
      <x:c r="H6" s="11"/>
      <x:c r="I6" s="11"/>
      <x:c r="J6" s="11" t="str">
        <x:v>EXECUTION  ·  scroll right for notes, RTL links and evidence checks</x:v>
      </x:c>
      <x:c r="K6" s="11"/>
      <x:c r="L6" s="11"/>
      <x:c r="M6" s="11"/>
      <x:c r="N6" s="11"/>
      <x:c r="O6" s="11"/>
      <x:c r="P6" s="11"/>
      <x:c r="Q6" s="11"/>
    </x:row>
    <x:row r="7" ht="32" customHeight="1">
      <x:c r="A7" s="14" t="str">
        <x:v>Case ID</x:v>
      </x:c>
      <x:c r="B7" s="14" t="str">
        <x:v>Status</x:v>
      </x:c>
      <x:c r="C7" s="14" t="str">
        <x:v>Priority</x:v>
      </x:c>
      <x:c r="D7" s="14" t="str">
        <x:v>Repository</x:v>
      </x:c>
      <x:c r="E7" s="14" t="str">
        <x:v>Block</x:v>
      </x:c>
      <x:c r="F7" s="14" t="str">
        <x:v>Test case</x:v>
      </x:c>
      <x:c r="G7" s="14" t="str">
        <x:v>Signals</x:v>
      </x:c>
      <x:c r="H7" s="14" t="str">
        <x:v>Test idea / stimulus</x:v>
      </x:c>
      <x:c r="I7" s="14" t="str">
        <x:v>Expected result / timing</x:v>
      </x:c>
      <x:c r="J7" s="14" t="str">
        <x:v>Actual result + evidence</x:v>
      </x:c>
      <x:c r="K7" s="14" t="str">
        <x:v>Run date</x:v>
      </x:c>
      <x:c r="L7" s="14" t="str">
        <x:v>Setup / parameters / seed / tested commit</x:v>
      </x:c>
      <x:c r="M7" s="14" t="str">
        <x:v>Notes / blocker / N/A reason</x:v>
      </x:c>
      <x:c r="N7" s="14" t="str">
        <x:v>RTL file(s)</x:v>
      </x:c>
      <x:c r="O7" s="14" t="str">
        <x:v>Reviewed source URL (copy)</x:v>
      </x:c>
      <x:c r="P7" s="14" t="str">
        <x:v>Run record check</x:v>
      </x:c>
      <x:c r="Q7" s="14" t="str">
        <x:v>Reviewed commit</x:v>
      </x:c>
    </x:row>
    <x:row r="8" ht="86" customHeight="1">
      <x:c r="A8" s="4" t="str">
        <x:v>RF-001</x:v>
      </x:c>
      <x:c r="B8" s="19" t="str">
        <x:v>Pending</x:v>
      </x:c>
      <x:c r="C8" s="20" t="str">
        <x:v>P0</x:v>
      </x:c>
      <x:c r="D8" s="4" t="str">
        <x:v>RamAndFifo</x:v>
      </x:c>
      <x:c r="E8" s="4" t="str">
        <x:v>RAM</x:v>
      </x:c>
      <x:c r="F8" s="4" t="str">
        <x:v>Registered read timing</x:v>
      </x:c>
      <x:c r="G8" s="4" t="str">
        <x:v>clk, we, waddr, raddr, din, dout</x:v>
      </x:c>
      <x:c r="H8" s="4" t="str">
        <x:v>Write A5 to address 0 on a rising clk. Set we=0 and raddr=0 between edges. Change raddr between later edges.</x:v>
      </x:c>
      <x:c r="I8" s="4" t="str">
        <x:v>dout changes only after a rising clk, after nonblocking updates. It returns the word selected by the pre-edge raddr. Do not expect combinational read-through.</x:v>
      </x:c>
      <x:c r="J8" s="17"/>
      <x:c r="K8" s="24"/>
      <x:c r="L8" s="17"/>
      <x:c r="M8" s="17"/>
      <x:c r="N8" s="4" t="str">
        <x:v>individual/ram/sync_ram.v</x:v>
      </x:c>
      <x:c r="O8" s="25" t="str">
        <x:v>https://github.com/kapiltrip/RamAndFifo/blob/858ffb35bb31e70051ca25d6cb24e5aa5020bd41/individual/ram/sync_ram.v</x:v>
      </x:c>
      <x:c r="P8" s="4" t="str">
        <x:f>IF(B8="Done",IF(OR(J8="",K8="",L8=""),"Add run evidence","Recorded"),IF(OR(B8="Blocked",B8="N/A"),IF(M8="","Add reason","Reason recorded"),""))</x:f>
      </x:c>
      <x:c r="Q8" s="4" t="str">
        <x:v>858ffb35bb31e70051ca25d6cb24e5aa5020bd41</x:v>
      </x:c>
    </x:row>
    <x:row r="9" ht="86" customHeight="1">
      <x:c r="A9" s="15" t="str">
        <x:v>RF-002</x:v>
      </x:c>
      <x:c r="B9" s="19" t="str">
        <x:v>Pending</x:v>
      </x:c>
      <x:c r="C9" s="15" t="str">
        <x:v>P1</x:v>
      </x:c>
      <x:c r="D9" s="15" t="str">
        <x:v>RamAndFifo</x:v>
      </x:c>
      <x:c r="E9" s="15" t="str">
        <x:v>RAM</x:v>
      </x:c>
      <x:c r="F9" s="15" t="str">
        <x:v>Write enable protects contents</x:v>
      </x:c>
      <x:c r="G9" s="15" t="str">
        <x:v>clk, we, waddr, raddr, din, dout</x:v>
      </x:c>
      <x:c r="H9" s="15" t="str">
        <x:v>Initialize address 0. Hold we=0 while toggling din and waddr; read address 0 again.</x:v>
      </x:c>
      <x:c r="I9" s="15" t="str">
        <x:v>dout returns the initialized word. No location changes while we=0.</x:v>
      </x:c>
      <x:c r="J9" s="17"/>
      <x:c r="K9" s="24"/>
      <x:c r="L9" s="17"/>
      <x:c r="M9" s="17"/>
      <x:c r="N9" s="15" t="str">
        <x:v>individual/ram/sync_ram.v</x:v>
      </x:c>
      <x:c r="O9" s="26" t="str">
        <x:v>https://github.com/kapiltrip/RamAndFifo/blob/858ffb35bb31e70051ca25d6cb24e5aa5020bd41/individual/ram/sync_ram.v</x:v>
      </x:c>
      <x:c r="P9" s="15" t="str">
        <x:f>IF(B9="Done",IF(OR(J9="",K9="",L9=""),"Add run evidence","Recorded"),IF(OR(B9="Blocked",B9="N/A"),IF(M9="","Add reason","Reason recorded"),""))</x:f>
      </x:c>
      <x:c r="Q9" s="15" t="str">
        <x:v>858ffb35bb31e70051ca25d6cb24e5aa5020bd41</x:v>
      </x:c>
    </x:row>
    <x:row r="10" ht="86" customHeight="1">
      <x:c r="A10" s="4" t="str">
        <x:v>RF-003</x:v>
      </x:c>
      <x:c r="B10" s="19" t="str">
        <x:v>Pending</x:v>
      </x:c>
      <x:c r="C10" s="20" t="str">
        <x:v>P0</x:v>
      </x:c>
      <x:c r="D10" s="4" t="str">
        <x:v>RamAndFifo</x:v>
      </x:c>
      <x:c r="E10" s="4" t="str">
        <x:v>RAM</x:v>
      </x:c>
      <x:c r="F10" s="4" t="str">
        <x:v>All addresses and aliasing</x:v>
      </x:c>
      <x:c r="G10" s="4" t="str">
        <x:v>clk, we, waddr, raddr, din, dout</x:v>
      </x:c>
      <x:c r="H10" s="4" t="str">
        <x:v>Write a distinct address-derived value to every valid waddr; read every raddr in ascending then descending order. Include 0 and DEPTH-1.</x:v>
      </x:c>
      <x:c r="I10" s="4" t="str">
        <x:v>Every address returns its own last written value. An update to one address must not corrupt any other address.</x:v>
      </x:c>
      <x:c r="J10" s="17"/>
      <x:c r="K10" s="24"/>
      <x:c r="L10" s="17"/>
      <x:c r="M10" s="17"/>
      <x:c r="N10" s="4" t="str">
        <x:v>individual/ram/sync_ram.v</x:v>
      </x:c>
      <x:c r="O10" s="25" t="str">
        <x:v>https://github.com/kapiltrip/RamAndFifo/blob/858ffb35bb31e70051ca25d6cb24e5aa5020bd41/individual/ram/sync_ram.v</x:v>
      </x:c>
      <x:c r="P10" s="4" t="str">
        <x:f>IF(B10="Done",IF(OR(J10="",K10="",L10=""),"Add run evidence","Recorded"),IF(OR(B10="Blocked",B10="N/A"),IF(M10="","Add reason","Reason recorded"),""))</x:f>
      </x:c>
      <x:c r="Q10" s="4" t="str">
        <x:v>858ffb35bb31e70051ca25d6cb24e5aa5020bd41</x:v>
      </x:c>
    </x:row>
    <x:row r="11" ht="86" customHeight="1">
      <x:c r="A11" s="15" t="str">
        <x:v>RF-004</x:v>
      </x:c>
      <x:c r="B11" s="19" t="str">
        <x:v>Pending</x:v>
      </x:c>
      <x:c r="C11" s="21" t="str">
        <x:v>P0</x:v>
      </x:c>
      <x:c r="D11" s="15" t="str">
        <x:v>RamAndFifo</x:v>
      </x:c>
      <x:c r="E11" s="15" t="str">
        <x:v>RAM</x:v>
      </x:c>
      <x:c r="F11" s="15" t="str">
        <x:v>Same-address read/write collision</x:v>
      </x:c>
      <x:c r="G11" s="15" t="str">
        <x:v>clk, we, waddr, raddr, din, dout</x:v>
      </x:c>
      <x:c r="H11" s="15" t="str">
        <x:v>Choose legal address A=min(3,DEPTH-1). Initialize A to hex 55. Set waddr=raddr=A, we=1, din=hex AA at the next active edge. Then disable writes and read A again. Truncate patterns to DW bits.</x:v>
      </x:c>
      <x:c r="I11" s="15" t="str">
        <x:v>On the collision edge dout=hex 55 (old data, truncated to DW). On the following read edge dout=hex AA. This is read-first RTL behavior.</x:v>
      </x:c>
      <x:c r="J11" s="17"/>
      <x:c r="K11" s="24"/>
      <x:c r="L11" s="17"/>
      <x:c r="M11" s="17"/>
      <x:c r="N11" s="15" t="str">
        <x:v>individual/ram/sync_ram.v</x:v>
      </x:c>
      <x:c r="O11" s="26" t="str">
        <x:v>https://github.com/kapiltrip/RamAndFifo/blob/858ffb35bb31e70051ca25d6cb24e5aa5020bd41/individual/ram/sync_ram.v</x:v>
      </x:c>
      <x:c r="P11" s="15" t="str">
        <x:f>IF(B11="Done",IF(OR(J11="",K11="",L11=""),"Add run evidence","Recorded"),IF(OR(B11="Blocked",B11="N/A"),IF(M11="","Add reason","Reason recorded"),""))</x:f>
      </x:c>
      <x:c r="Q11" s="15" t="str">
        <x:v>858ffb35bb31e70051ca25d6cb24e5aa5020bd41</x:v>
      </x:c>
    </x:row>
    <x:row r="12" ht="86" customHeight="1">
      <x:c r="A12" s="4" t="str">
        <x:v>RF-005</x:v>
      </x:c>
      <x:c r="B12" s="19" t="str">
        <x:v>Pending</x:v>
      </x:c>
      <x:c r="C12" s="4" t="str">
        <x:v>P1</x:v>
      </x:c>
      <x:c r="D12" s="4" t="str">
        <x:v>RamAndFifo</x:v>
      </x:c>
      <x:c r="E12" s="4" t="str">
        <x:v>RAM</x:v>
      </x:c>
      <x:c r="F12" s="4" t="str">
        <x:v>Different-address concurrent access</x:v>
      </x:c>
      <x:c r="G12" s="4" t="str">
        <x:v>clk, we, waddr, raddr, din, dout</x:v>
      </x:c>
      <x:c r="H12" s="4" t="str">
        <x:v>Read an initialized raddr while we=1 writes a different waddr; repeat with both addresses at the range ends.</x:v>
      </x:c>
      <x:c r="I12" s="4" t="str">
        <x:v>The read returns the old contents of raddr; the independent write is visible on a later read of waddr.</x:v>
      </x:c>
      <x:c r="J12" s="17"/>
      <x:c r="K12" s="24"/>
      <x:c r="L12" s="17"/>
      <x:c r="M12" s="17"/>
      <x:c r="N12" s="4" t="str">
        <x:v>individual/ram/sync_ram.v</x:v>
      </x:c>
      <x:c r="O12" s="25" t="str">
        <x:v>https://github.com/kapiltrip/RamAndFifo/blob/858ffb35bb31e70051ca25d6cb24e5aa5020bd41/individual/ram/sync_ram.v</x:v>
      </x:c>
      <x:c r="P12" s="4" t="str">
        <x:f>IF(B12="Done",IF(OR(J12="",K12="",L12=""),"Add run evidence","Recorded"),IF(OR(B12="Blocked",B12="N/A"),IF(M12="","Add reason","Reason recorded"),""))</x:f>
      </x:c>
      <x:c r="Q12" s="4" t="str">
        <x:v>858ffb35bb31e70051ca25d6cb24e5aa5020bd41</x:v>
      </x:c>
    </x:row>
    <x:row r="13" ht="86" customHeight="1">
      <x:c r="A13" s="15" t="str">
        <x:v>RF-006</x:v>
      </x:c>
      <x:c r="B13" s="19" t="str">
        <x:v>Pending</x:v>
      </x:c>
      <x:c r="C13" s="15" t="str">
        <x:v>P1</x:v>
      </x:c>
      <x:c r="D13" s="15" t="str">
        <x:v>RamAndFifo</x:v>
      </x:c>
      <x:c r="E13" s="15" t="str">
        <x:v>RAM</x:v>
      </x:c>
      <x:c r="F13" s="15" t="str">
        <x:v>Data bit patterns</x:v>
      </x:c>
      <x:c r="G13" s="15" t="str">
        <x:v>clk, we, waddr, raddr, din, dout</x:v>
      </x:c>
      <x:c r="H13" s="15" t="str">
        <x:v>Write/read 00, all ones, alternating 55/AA, walking one and walking zero in each data bit. Fit each pattern to the configured data width.</x:v>
      </x:c>
      <x:c r="I13" s="15" t="str">
        <x:v>Every bit is preserved without truncation, coupling or unwanted sign extension.</x:v>
      </x:c>
      <x:c r="J13" s="17"/>
      <x:c r="K13" s="24"/>
      <x:c r="L13" s="17"/>
      <x:c r="M13" s="17"/>
      <x:c r="N13" s="15" t="str">
        <x:v>individual/ram/sync_ram.v</x:v>
      </x:c>
      <x:c r="O13" s="26" t="str">
        <x:v>https://github.com/kapiltrip/RamAndFifo/blob/858ffb35bb31e70051ca25d6cb24e5aa5020bd41/individual/ram/sync_ram.v</x:v>
      </x:c>
      <x:c r="P13" s="15" t="str">
        <x:f>IF(B13="Done",IF(OR(J13="",K13="",L13=""),"Add run evidence","Recorded"),IF(OR(B13="Blocked",B13="N/A"),IF(M13="","Add reason","Reason recorded"),""))</x:f>
      </x:c>
      <x:c r="Q13" s="15" t="str">
        <x:v>858ffb35bb31e70051ca25d6cb24e5aa5020bd41</x:v>
      </x:c>
    </x:row>
    <x:row r="14" ht="86" customHeight="1">
      <x:c r="A14" s="4" t="str">
        <x:v>RF-007</x:v>
      </x:c>
      <x:c r="B14" s="19" t="str">
        <x:v>Pending</x:v>
      </x:c>
      <x:c r="C14" s="4" t="str">
        <x:v>P1</x:v>
      </x:c>
      <x:c r="D14" s="4" t="str">
        <x:v>RamAndFifo</x:v>
      </x:c>
      <x:c r="E14" s="4" t="str">
        <x:v>RAM</x:v>
      </x:c>
      <x:c r="F14" s="4" t="str">
        <x:v>Uninitialized read and no reset port</x:v>
      </x:c>
      <x:c r="G14" s="4" t="str">
        <x:v>clk, we, waddr, raddr, din, dout</x:v>
      </x:c>
      <x:c r="H14" s="4" t="str">
        <x:v>Start a fresh simulation and read a location before writing it. Then initialize that location and read it again.</x:v>
      </x:c>
      <x:c r="I14" s="4" t="str">
        <x:v>The first value is unspecified/X in this RTL; it is not a required zero. Only the initialized read has a numeric pass criterion. There is no RAM reset input.</x:v>
      </x:c>
      <x:c r="J14" s="17"/>
      <x:c r="K14" s="24"/>
      <x:c r="L14" s="17"/>
      <x:c r="M14" s="17"/>
      <x:c r="N14" s="4" t="str">
        <x:v>individual/ram/sync_ram.v</x:v>
      </x:c>
      <x:c r="O14" s="25" t="str">
        <x:v>https://github.com/kapiltrip/RamAndFifo/blob/858ffb35bb31e70051ca25d6cb24e5aa5020bd41/individual/ram/sync_ram.v</x:v>
      </x:c>
      <x:c r="P14" s="4" t="str">
        <x:f>IF(B14="Done",IF(OR(J14="",K14="",L14=""),"Add run evidence","Recorded"),IF(OR(B14="Blocked",B14="N/A"),IF(M14="","Add reason","Reason recorded"),""))</x:f>
      </x:c>
      <x:c r="Q14" s="4" t="str">
        <x:v>858ffb35bb31e70051ca25d6cb24e5aa5020bd41</x:v>
      </x:c>
    </x:row>
    <x:row r="15" ht="86" customHeight="1">
      <x:c r="A15" s="15" t="str">
        <x:v>RF-008</x:v>
      </x:c>
      <x:c r="B15" s="19" t="str">
        <x:v>Pending</x:v>
      </x:c>
      <x:c r="C15" s="15" t="str">
        <x:v>P2</x:v>
      </x:c>
      <x:c r="D15" s="15" t="str">
        <x:v>RamAndFifo</x:v>
      </x:c>
      <x:c r="E15" s="15" t="str">
        <x:v>RAM</x:v>
      </x:c>
      <x:c r="F15" s="15" t="str">
        <x:v>Back-to-back overwrite and parameter corners</x:v>
      </x:c>
      <x:c r="G15" s="15" t="str">
        <x:v>clk, we, waddr, raddr, din, dout</x:v>
      </x:c>
      <x:c r="H15" s="15" t="str">
        <x:v>Overwrite the same address on consecutive clocks and verify the last word. Repeat the suite at DW=1,8,16 and AW=1,2,4, using legal address ranges.</x:v>
      </x:c>
      <x:c r="I15" s="15" t="str">
        <x:v>Last accepted write wins; capacity is 2^AW. Default DW=8, AW=4 means 16 entries. Check parameter names in the source before each build.</x:v>
      </x:c>
      <x:c r="J15" s="17"/>
      <x:c r="K15" s="24"/>
      <x:c r="L15" s="17"/>
      <x:c r="M15" s="17"/>
      <x:c r="N15" s="15" t="str">
        <x:v>individual/ram/sync_ram.v</x:v>
      </x:c>
      <x:c r="O15" s="26" t="str">
        <x:v>https://github.com/kapiltrip/RamAndFifo/blob/858ffb35bb31e70051ca25d6cb24e5aa5020bd41/individual/ram/sync_ram.v</x:v>
      </x:c>
      <x:c r="P15" s="15" t="str">
        <x:f>IF(B15="Done",IF(OR(J15="",K15="",L15=""),"Add run evidence","Recorded"),IF(OR(B15="Blocked",B15="N/A"),IF(M15="","Add reason","Reason recorded"),""))</x:f>
      </x:c>
      <x:c r="Q15" s="15" t="str">
        <x:v>858ffb35bb31e70051ca25d6cb24e5aa5020bd41</x:v>
      </x:c>
    </x:row>
    <x:row r="16" ht="86" customHeight="1">
      <x:c r="A16" s="4" t="str">
        <x:v>RF-009</x:v>
      </x:c>
      <x:c r="B16" s="19" t="str">
        <x:v>Pending</x:v>
      </x:c>
      <x:c r="C16" s="20" t="str">
        <x:v>P0</x:v>
      </x:c>
      <x:c r="D16" s="4" t="str">
        <x:v>RamAndFifo</x:v>
      </x:c>
      <x:c r="E16" s="4" t="str">
        <x:v>Standalone FIFO</x:v>
      </x:c>
      <x:c r="F16" s="4" t="str">
        <x:v>Reset and first usable cycle</x:v>
      </x:c>
      <x:c r="G16" s="4" t="str">
        <x:v>clk, rst, wr_en, rd_en, wr_data, rd_data, full, empty</x:v>
      </x:c>
      <x:c r="H16" s="4" t="str">
        <x:v>Hold wr_en=rd_en=0. Assert rst=1, clock the design, then release reset away from the active edge.</x:v>
      </x:c>
      <x:c r="I16" s="4" t="str">
        <x:v>After the specified reset event: empty=1 and full=0; pointers/count are reset. rd_data holds the last accepted read while no read is accepted, and resets to zero.</x:v>
      </x:c>
      <x:c r="J16" s="17"/>
      <x:c r="K16" s="24"/>
      <x:c r="L16" s="17"/>
      <x:c r="M16" s="17"/>
      <x:c r="N16" s="4" t="str">
        <x:v>individual/fifo/sync_fifo.v</x:v>
      </x:c>
      <x:c r="O16" s="25" t="str">
        <x:v>https://github.com/kapiltrip/RamAndFifo/blob/858ffb35bb31e70051ca25d6cb24e5aa5020bd41/individual/fifo/sync_fifo.v</x:v>
      </x:c>
      <x:c r="P16" s="4" t="str">
        <x:f>IF(B16="Done",IF(OR(J16="",K16="",L16=""),"Add run evidence","Recorded"),IF(OR(B16="Blocked",B16="N/A"),IF(M16="","Add reason","Reason recorded"),""))</x:f>
      </x:c>
      <x:c r="Q16" s="4" t="str">
        <x:v>858ffb35bb31e70051ca25d6cb24e5aa5020bd41</x:v>
      </x:c>
    </x:row>
    <x:row r="17" ht="86" customHeight="1">
      <x:c r="A17" s="15" t="str">
        <x:v>RF-010</x:v>
      </x:c>
      <x:c r="B17" s="19" t="str">
        <x:v>Pending</x:v>
      </x:c>
      <x:c r="C17" s="21" t="str">
        <x:v>P0</x:v>
      </x:c>
      <x:c r="D17" s="15" t="str">
        <x:v>RamAndFifo</x:v>
      </x:c>
      <x:c r="E17" s="15" t="str">
        <x:v>Standalone FIFO</x:v>
      </x:c>
      <x:c r="F17" s="15" t="str">
        <x:v>Single write then single read</x:v>
      </x:c>
      <x:c r="G17" s="15" t="str">
        <x:v>clk, rst, wr_en, rd_en, wr_data, rd_data, full, empty</x:v>
      </x:c>
      <x:c r="H17" s="15" t="str">
        <x:v>Write A5 with wr_en=1 while full=0; disable write; request one read with rd_en=1 while empty=0.</x:v>
      </x:c>
      <x:c r="I17" s="15" t="str">
        <x:v>empty clears after the write and asserts after the read. Compare rd_data AFTER the accepted clk edge and nonblocking updates, using the word at the pre-edge read pointer. Exactly one word is transferred.</x:v>
      </x:c>
      <x:c r="J17" s="17"/>
      <x:c r="K17" s="24"/>
      <x:c r="L17" s="17"/>
      <x:c r="M17" s="17"/>
      <x:c r="N17" s="15" t="str">
        <x:v>individual/fifo/sync_fifo.v</x:v>
      </x:c>
      <x:c r="O17" s="26" t="str">
        <x:v>https://github.com/kapiltrip/RamAndFifo/blob/858ffb35bb31e70051ca25d6cb24e5aa5020bd41/individual/fifo/sync_fifo.v</x:v>
      </x:c>
      <x:c r="P17" s="15" t="str">
        <x:f>IF(B17="Done",IF(OR(J17="",K17="",L17=""),"Add run evidence","Recorded"),IF(OR(B17="Blocked",B17="N/A"),IF(M17="","Add reason","Reason recorded"),""))</x:f>
      </x:c>
      <x:c r="Q17" s="15" t="str">
        <x:v>858ffb35bb31e70051ca25d6cb24e5aa5020bd41</x:v>
      </x:c>
    </x:row>
    <x:row r="18" ht="86" customHeight="1">
      <x:c r="A18" s="4" t="str">
        <x:v>RF-011</x:v>
      </x:c>
      <x:c r="B18" s="19" t="str">
        <x:v>Pending</x:v>
      </x:c>
      <x:c r="C18" s="20" t="str">
        <x:v>P0</x:v>
      </x:c>
      <x:c r="D18" s="4" t="str">
        <x:v>RamAndFifo</x:v>
      </x:c>
      <x:c r="E18" s="4" t="str">
        <x:v>Standalone FIFO</x:v>
      </x:c>
      <x:c r="F18" s="4" t="str">
        <x:v>Ordering and mixed data</x:v>
      </x:c>
      <x:c r="G18" s="4" t="str">
        <x:v>clk, rst, wr_en, rd_en, wr_data, rd_data, full, empty</x:v>
      </x:c>
      <x:c r="H18" s="4" t="str">
        <x:v>Write 10,22,35,48 with gaps, then drain using isolated and consecutive rd_en requests.</x:v>
      </x:c>
      <x:c r="I18" s="4" t="str">
        <x:v>Read values are 10,22,35,48 in that order. Compare rd_data AFTER the accepted clk edge and nonblocking updates, using the word at the pre-edge read pointer.</x:v>
      </x:c>
      <x:c r="J18" s="17"/>
      <x:c r="K18" s="24"/>
      <x:c r="L18" s="17"/>
      <x:c r="M18" s="17"/>
      <x:c r="N18" s="4" t="str">
        <x:v>individual/fifo/sync_fifo.v</x:v>
      </x:c>
      <x:c r="O18" s="25" t="str">
        <x:v>https://github.com/kapiltrip/RamAndFifo/blob/858ffb35bb31e70051ca25d6cb24e5aa5020bd41/individual/fifo/sync_fifo.v</x:v>
      </x:c>
      <x:c r="P18" s="4" t="str">
        <x:f>IF(B18="Done",IF(OR(J18="",K18="",L18=""),"Add run evidence","Recorded"),IF(OR(B18="Blocked",B18="N/A"),IF(M18="","Add reason","Reason recorded"),""))</x:f>
      </x:c>
      <x:c r="Q18" s="4" t="str">
        <x:v>858ffb35bb31e70051ca25d6cb24e5aa5020bd41</x:v>
      </x:c>
    </x:row>
    <x:row r="19" ht="86" customHeight="1">
      <x:c r="A19" s="15" t="str">
        <x:v>RF-012</x:v>
      </x:c>
      <x:c r="B19" s="19" t="str">
        <x:v>Pending</x:v>
      </x:c>
      <x:c r="C19" s="21" t="str">
        <x:v>P0</x:v>
      </x:c>
      <x:c r="D19" s="15" t="str">
        <x:v>RamAndFifo</x:v>
      </x:c>
      <x:c r="E19" s="15" t="str">
        <x:v>Standalone FIFO</x:v>
      </x:c>
      <x:c r="F19" s="15" t="str">
        <x:v>Fill to capacity and reject overflow</x:v>
      </x:c>
      <x:c r="G19" s="15" t="str">
        <x:v>clk, rst, wr_en, rd_en, wr_data, rd_data, full, empty</x:v>
      </x:c>
      <x:c r="H19" s="15" t="str">
        <x:v>With rd_en=0, issue exactly DEPTH writes (2^AW (default 16)); check one below full and full. Attempt three further writes with distinct data, then drain.</x:v>
      </x:c>
      <x:c r="I19" s="15" t="str">
        <x:v>full asserts only after the last available slot is used. Extra writes cannot move the write pointer or replace queued data. Draining returns the original DEPTH values.</x:v>
      </x:c>
      <x:c r="J19" s="17"/>
      <x:c r="K19" s="24"/>
      <x:c r="L19" s="17"/>
      <x:c r="M19" s="17"/>
      <x:c r="N19" s="15" t="str">
        <x:v>individual/fifo/sync_fifo.v</x:v>
      </x:c>
      <x:c r="O19" s="26" t="str">
        <x:v>https://github.com/kapiltrip/RamAndFifo/blob/858ffb35bb31e70051ca25d6cb24e5aa5020bd41/individual/fifo/sync_fifo.v</x:v>
      </x:c>
      <x:c r="P19" s="15" t="str">
        <x:f>IF(B19="Done",IF(OR(J19="",K19="",L19=""),"Add run evidence","Recorded"),IF(OR(B19="Blocked",B19="N/A"),IF(M19="","Add reason","Reason recorded"),""))</x:f>
      </x:c>
      <x:c r="Q19" s="15" t="str">
        <x:v>858ffb35bb31e70051ca25d6cb24e5aa5020bd41</x:v>
      </x:c>
    </x:row>
    <x:row r="20" ht="86" customHeight="1">
      <x:c r="A20" s="4" t="str">
        <x:v>RF-013</x:v>
      </x:c>
      <x:c r="B20" s="19" t="str">
        <x:v>Pending</x:v>
      </x:c>
      <x:c r="C20" s="20" t="str">
        <x:v>P0</x:v>
      </x:c>
      <x:c r="D20" s="4" t="str">
        <x:v>RamAndFifo</x:v>
      </x:c>
      <x:c r="E20" s="4" t="str">
        <x:v>Standalone FIFO</x:v>
      </x:c>
      <x:c r="F20" s="4" t="str">
        <x:v>Drain to empty and reject underflow</x:v>
      </x:c>
      <x:c r="G20" s="4" t="str">
        <x:v>clk, rst, wr_en, rd_en, wr_data, rd_data, full, empty</x:v>
      </x:c>
      <x:c r="H20" s="4" t="str">
        <x:v>Fill and drain exactly DEPTH accepted reads. Keep rd_en=1 for three additional clocks with wr_en=0.</x:v>
      </x:c>
      <x:c r="I20" s="4" t="str">
        <x:v>empty asserts on the last accepted pop; extra reads do not advance the read pointer or change occupancy. rd_data holds the last accepted read while no read is accepted, and resets to zero.</x:v>
      </x:c>
      <x:c r="J20" s="17"/>
      <x:c r="K20" s="24"/>
      <x:c r="L20" s="17"/>
      <x:c r="M20" s="17"/>
      <x:c r="N20" s="4" t="str">
        <x:v>individual/fifo/sync_fifo.v</x:v>
      </x:c>
      <x:c r="O20" s="25" t="str">
        <x:v>https://github.com/kapiltrip/RamAndFifo/blob/858ffb35bb31e70051ca25d6cb24e5aa5020bd41/individual/fifo/sync_fifo.v</x:v>
      </x:c>
      <x:c r="P20" s="4" t="str">
        <x:f>IF(B20="Done",IF(OR(J20="",K20="",L20=""),"Add run evidence","Recorded"),IF(OR(B20="Blocked",B20="N/A"),IF(M20="","Add reason","Reason recorded"),""))</x:f>
      </x:c>
      <x:c r="Q20" s="4" t="str">
        <x:v>858ffb35bb31e70051ca25d6cb24e5aa5020bd41</x:v>
      </x:c>
    </x:row>
    <x:row r="21" ht="86" customHeight="1">
      <x:c r="A21" s="15" t="str">
        <x:v>RF-014</x:v>
      </x:c>
      <x:c r="B21" s="19" t="str">
        <x:v>Pending</x:v>
      </x:c>
      <x:c r="C21" s="21" t="str">
        <x:v>P0</x:v>
      </x:c>
      <x:c r="D21" s="15" t="str">
        <x:v>RamAndFifo</x:v>
      </x:c>
      <x:c r="E21" s="15" t="str">
        <x:v>Standalone FIFO</x:v>
      </x:c>
      <x:c r="F21" s="15" t="str">
        <x:v>Both enables in the middle</x:v>
      </x:c>
      <x:c r="G21" s="15" t="str">
        <x:v>clk, rst, wr_en, rd_en, wr_data, rd_data, full, empty</x:v>
      </x:c>
      <x:c r="H21" s="15" t="str">
        <x:v>Prefill to half capacity. Keep wr_en=rd_en=1 for at least 2*DEPTH clocks with a changing wr_data.</x:v>
      </x:c>
      <x:c r="I21" s="15" t="str">
        <x:v>Both operations are accepted on each edge and occupancy stays constant. The stream remains ordered across pointer wraps. Compare rd_data AFTER the accepted clk edge and nonblocking updates, using the word at the pre-edge read pointer.</x:v>
      </x:c>
      <x:c r="J21" s="17"/>
      <x:c r="K21" s="24"/>
      <x:c r="L21" s="17"/>
      <x:c r="M21" s="17"/>
      <x:c r="N21" s="15" t="str">
        <x:v>individual/fifo/sync_fifo.v</x:v>
      </x:c>
      <x:c r="O21" s="26" t="str">
        <x:v>https://github.com/kapiltrip/RamAndFifo/blob/858ffb35bb31e70051ca25d6cb24e5aa5020bd41/individual/fifo/sync_fifo.v</x:v>
      </x:c>
      <x:c r="P21" s="15" t="str">
        <x:f>IF(B21="Done",IF(OR(J21="",K21="",L21=""),"Add run evidence","Recorded"),IF(OR(B21="Blocked",B21="N/A"),IF(M21="","Add reason","Reason recorded"),""))</x:f>
      </x:c>
      <x:c r="Q21" s="15" t="str">
        <x:v>858ffb35bb31e70051ca25d6cb24e5aa5020bd41</x:v>
      </x:c>
    </x:row>
    <x:row r="22" ht="86" customHeight="1">
      <x:c r="A22" s="4" t="str">
        <x:v>RF-015</x:v>
      </x:c>
      <x:c r="B22" s="19" t="str">
        <x:v>Pending</x:v>
      </x:c>
      <x:c r="C22" s="20" t="str">
        <x:v>P0</x:v>
      </x:c>
      <x:c r="D22" s="4" t="str">
        <x:v>RamAndFifo</x:v>
      </x:c>
      <x:c r="E22" s="4" t="str">
        <x:v>Standalone FIFO</x:v>
      </x:c>
      <x:c r="F22" s="4" t="str">
        <x:v>Both enables when empty</x:v>
      </x:c>
      <x:c r="G22" s="4" t="str">
        <x:v>clk, rst, wr_en, rd_en, wr_data, rd_data, full, empty</x:v>
      </x:c>
      <x:c r="H22" s="4" t="str">
        <x:v>Reset empty, then assert wr_en=rd_en=1 for one edge with wr_data=3C.</x:v>
      </x:c>
      <x:c r="I22" s="4" t="str">
        <x:v>Only the write is accepted because the pre-edge empty=1. Occupancy becomes one. No same-edge bypass/pop of 3C is allowed.</x:v>
      </x:c>
      <x:c r="J22" s="17"/>
      <x:c r="K22" s="24"/>
      <x:c r="L22" s="17"/>
      <x:c r="M22" s="17"/>
      <x:c r="N22" s="4" t="str">
        <x:v>individual/fifo/sync_fifo.v</x:v>
      </x:c>
      <x:c r="O22" s="25" t="str">
        <x:v>https://github.com/kapiltrip/RamAndFifo/blob/858ffb35bb31e70051ca25d6cb24e5aa5020bd41/individual/fifo/sync_fifo.v</x:v>
      </x:c>
      <x:c r="P22" s="4" t="str">
        <x:f>IF(B22="Done",IF(OR(J22="",K22="",L22=""),"Add run evidence","Recorded"),IF(OR(B22="Blocked",B22="N/A"),IF(M22="","Add reason","Reason recorded"),""))</x:f>
      </x:c>
      <x:c r="Q22" s="4" t="str">
        <x:v>858ffb35bb31e70051ca25d6cb24e5aa5020bd41</x:v>
      </x:c>
    </x:row>
    <x:row r="23" ht="86" customHeight="1">
      <x:c r="A23" s="15" t="str">
        <x:v>RF-016</x:v>
      </x:c>
      <x:c r="B23" s="19" t="str">
        <x:v>Pending</x:v>
      </x:c>
      <x:c r="C23" s="21" t="str">
        <x:v>P0</x:v>
      </x:c>
      <x:c r="D23" s="15" t="str">
        <x:v>RamAndFifo</x:v>
      </x:c>
      <x:c r="E23" s="15" t="str">
        <x:v>Standalone FIFO</x:v>
      </x:c>
      <x:c r="F23" s="15" t="str">
        <x:v>Both enables when full</x:v>
      </x:c>
      <x:c r="G23" s="15" t="str">
        <x:v>clk, rst, wr_en, rd_en, wr_data, rd_data, full, empty</x:v>
      </x:c>
      <x:c r="H23" s="15" t="str">
        <x:v>Fill to capacity; assert wr_en=rd_en=1 for one edge with a new wr_data.</x:v>
      </x:c>
      <x:c r="I23" s="15" t="str">
        <x:v>Only the read is accepted because pre-edge full=1; the write is blocked and occupancy becomes DEPTH-1. Resend the new word later if it must be stored.</x:v>
      </x:c>
      <x:c r="J23" s="17"/>
      <x:c r="K23" s="24"/>
      <x:c r="L23" s="17"/>
      <x:c r="M23" s="17"/>
      <x:c r="N23" s="15" t="str">
        <x:v>individual/fifo/sync_fifo.v</x:v>
      </x:c>
      <x:c r="O23" s="26" t="str">
        <x:v>https://github.com/kapiltrip/RamAndFifo/blob/858ffb35bb31e70051ca25d6cb24e5aa5020bd41/individual/fifo/sync_fifo.v</x:v>
      </x:c>
      <x:c r="P23" s="15" t="str">
        <x:f>IF(B23="Done",IF(OR(J23="",K23="",L23=""),"Add run evidence","Recorded"),IF(OR(B23="Blocked",B23="N/A"),IF(M23="","Add reason","Reason recorded"),""))</x:f>
      </x:c>
      <x:c r="Q23" s="15" t="str">
        <x:v>858ffb35bb31e70051ca25d6cb24e5aa5020bd41</x:v>
      </x:c>
    </x:row>
    <x:row r="24" ht="86" customHeight="1">
      <x:c r="A24" s="4" t="str">
        <x:v>RF-017</x:v>
      </x:c>
      <x:c r="B24" s="19" t="str">
        <x:v>Pending</x:v>
      </x:c>
      <x:c r="C24" s="4" t="str">
        <x:v>P1</x:v>
      </x:c>
      <x:c r="D24" s="4" t="str">
        <x:v>RamAndFifo</x:v>
      </x:c>
      <x:c r="E24" s="4" t="str">
        <x:v>Standalone FIFO</x:v>
      </x:c>
      <x:c r="F24" s="4" t="str">
        <x:v>Idle and output validity</x:v>
      </x:c>
      <x:c r="G24" s="4" t="str">
        <x:v>clk, rst, wr_en, rd_en, wr_data, rd_data, full, empty</x:v>
      </x:c>
      <x:c r="H24" s="4" t="str">
        <x:v>Pause both enables at empty, one word, half-full and full. Toggle wr_data while idle.</x:v>
      </x:c>
      <x:c r="I24" s="4" t="str">
        <x:v>Pointers/count and flags hold. rd_data holds the last accepted read while no read is accepted, and resets to zero.</x:v>
      </x:c>
      <x:c r="J24" s="17"/>
      <x:c r="K24" s="24"/>
      <x:c r="L24" s="17"/>
      <x:c r="M24" s="17"/>
      <x:c r="N24" s="4" t="str">
        <x:v>individual/fifo/sync_fifo.v</x:v>
      </x:c>
      <x:c r="O24" s="25" t="str">
        <x:v>https://github.com/kapiltrip/RamAndFifo/blob/858ffb35bb31e70051ca25d6cb24e5aa5020bd41/individual/fifo/sync_fifo.v</x:v>
      </x:c>
      <x:c r="P24" s="4" t="str">
        <x:f>IF(B24="Done",IF(OR(J24="",K24="",L24=""),"Add run evidence","Recorded"),IF(OR(B24="Blocked",B24="N/A"),IF(M24="","Add reason","Reason recorded"),""))</x:f>
      </x:c>
      <x:c r="Q24" s="4" t="str">
        <x:v>858ffb35bb31e70051ca25d6cb24e5aa5020bd41</x:v>
      </x:c>
    </x:row>
    <x:row r="25" ht="86" customHeight="1">
      <x:c r="A25" s="15" t="str">
        <x:v>RF-018</x:v>
      </x:c>
      <x:c r="B25" s="19" t="str">
        <x:v>Pending</x:v>
      </x:c>
      <x:c r="C25" s="15" t="str">
        <x:v>P1</x:v>
      </x:c>
      <x:c r="D25" s="15" t="str">
        <x:v>RamAndFifo</x:v>
      </x:c>
      <x:c r="E25" s="15" t="str">
        <x:v>Standalone FIFO</x:v>
      </x:c>
      <x:c r="F25" s="15" t="str">
        <x:v>Repeated wraparound</x:v>
      </x:c>
      <x:c r="G25" s="15" t="str">
        <x:v>clk, rst, wr_en, rd_en, wr_data, rd_data, full, empty</x:v>
      </x:c>
      <x:c r="H25" s="15" t="str">
        <x:v>Alternate fill/drain and mixed bursts until each pointer wraps at least four times. Use a sequence number for every accepted write.</x:v>
      </x:c>
      <x:c r="I25" s="15" t="str">
        <x:v>No duplication, loss or reordering. Counts stay between zero and DEPTH; full and empty cannot both be true.</x:v>
      </x:c>
      <x:c r="J25" s="17"/>
      <x:c r="K25" s="24"/>
      <x:c r="L25" s="17"/>
      <x:c r="M25" s="17"/>
      <x:c r="N25" s="15" t="str">
        <x:v>individual/fifo/sync_fifo.v</x:v>
      </x:c>
      <x:c r="O25" s="26" t="str">
        <x:v>https://github.com/kapiltrip/RamAndFifo/blob/858ffb35bb31e70051ca25d6cb24e5aa5020bd41/individual/fifo/sync_fifo.v</x:v>
      </x:c>
      <x:c r="P25" s="15" t="str">
        <x:f>IF(B25="Done",IF(OR(J25="",K25="",L25=""),"Add run evidence","Recorded"),IF(OR(B25="Blocked",B25="N/A"),IF(M25="","Add reason","Reason recorded"),""))</x:f>
      </x:c>
      <x:c r="Q25" s="15" t="str">
        <x:v>858ffb35bb31e70051ca25d6cb24e5aa5020bd41</x:v>
      </x:c>
    </x:row>
    <x:row r="26" ht="86" customHeight="1">
      <x:c r="A26" s="4" t="str">
        <x:v>RF-019</x:v>
      </x:c>
      <x:c r="B26" s="19" t="str">
        <x:v>Pending</x:v>
      </x:c>
      <x:c r="C26" s="4" t="str">
        <x:v>P1</x:v>
      </x:c>
      <x:c r="D26" s="4" t="str">
        <x:v>RamAndFifo</x:v>
      </x:c>
      <x:c r="E26" s="4" t="str">
        <x:v>Standalone FIFO</x:v>
      </x:c>
      <x:c r="F26" s="4" t="str">
        <x:v>Reset with queued traffic</x:v>
      </x:c>
      <x:c r="G26" s="4" t="str">
        <x:v>clk, rst, wr_en, rd_en, wr_data, rd_data, full, empty</x:v>
      </x:c>
      <x:c r="H26" s="4" t="str">
        <x:v>Prefill, assert rst during traffic, then hold enables low through reset. Discard the software reference queue; release reset and write fresh values.</x:v>
      </x:c>
      <x:c r="I26" s="4" t="str">
        <x:v>Old queued values are discarded logically. The first fresh drain returns only post-reset accepted writes. rd_data holds the last accepted read while no read is accepted, and resets to zero.</x:v>
      </x:c>
      <x:c r="J26" s="17"/>
      <x:c r="K26" s="24"/>
      <x:c r="L26" s="17"/>
      <x:c r="M26" s="17"/>
      <x:c r="N26" s="4" t="str">
        <x:v>individual/fifo/sync_fifo.v</x:v>
      </x:c>
      <x:c r="O26" s="25" t="str">
        <x:v>https://github.com/kapiltrip/RamAndFifo/blob/858ffb35bb31e70051ca25d6cb24e5aa5020bd41/individual/fifo/sync_fifo.v</x:v>
      </x:c>
      <x:c r="P26" s="4" t="str">
        <x:f>IF(B26="Done",IF(OR(J26="",K26="",L26=""),"Add run evidence","Recorded"),IF(OR(B26="Blocked",B26="N/A"),IF(M26="","Add reason","Reason recorded"),""))</x:f>
      </x:c>
      <x:c r="Q26" s="4" t="str">
        <x:v>858ffb35bb31e70051ca25d6cb24e5aa5020bd41</x:v>
      </x:c>
    </x:row>
    <x:row r="27" ht="86" customHeight="1">
      <x:c r="A27" s="15" t="str">
        <x:v>RF-020</x:v>
      </x:c>
      <x:c r="B27" s="19" t="str">
        <x:v>Pending</x:v>
      </x:c>
      <x:c r="C27" s="15" t="str">
        <x:v>P2</x:v>
      </x:c>
      <x:c r="D27" s="15" t="str">
        <x:v>RamAndFifo</x:v>
      </x:c>
      <x:c r="E27" s="15" t="str">
        <x:v>Standalone FIFO</x:v>
      </x:c>
      <x:c r="F27" s="15" t="str">
        <x:v>Random bursts with a reference queue</x:v>
      </x:c>
      <x:c r="G27" s="15" t="str">
        <x:v>clk, rst, wr_en, rd_en, wr_data, rd_data, full, empty</x:v>
      </x:c>
      <x:c r="H27" s="15" t="str">
        <x:v>Run 1000 or more edges for each of three recorded seeds. Bias requests toward empty/full and one-away states. Queue only writes accepted by pre-edge flags and dequeue only accepted reads.</x:v>
      </x:c>
      <x:c r="I27" s="15" t="str">
        <x:v>Every accepted read matches the oldest reference word. End by draining and proving the reference queue empty. Compare rd_data AFTER the accepted clk edge and nonblocking updates, using the word at the pre-edge read pointer.</x:v>
      </x:c>
      <x:c r="J27" s="17"/>
      <x:c r="K27" s="24"/>
      <x:c r="L27" s="17"/>
      <x:c r="M27" s="17"/>
      <x:c r="N27" s="15" t="str">
        <x:v>individual/fifo/sync_fifo.v</x:v>
      </x:c>
      <x:c r="O27" s="26" t="str">
        <x:v>https://github.com/kapiltrip/RamAndFifo/blob/858ffb35bb31e70051ca25d6cb24e5aa5020bd41/individual/fifo/sync_fifo.v</x:v>
      </x:c>
      <x:c r="P27" s="15" t="str">
        <x:f>IF(B27="Done",IF(OR(J27="",K27="",L27=""),"Add run evidence","Recorded"),IF(OR(B27="Blocked",B27="N/A"),IF(M27="","Add reason","Reason recorded"),""))</x:f>
      </x:c>
      <x:c r="Q27" s="15" t="str">
        <x:v>858ffb35bb31e70051ca25d6cb24e5aa5020bd41</x:v>
      </x:c>
    </x:row>
    <x:row r="28" ht="86" customHeight="1">
      <x:c r="A28" s="4" t="str">
        <x:v>RF-021</x:v>
      </x:c>
      <x:c r="B28" s="19" t="str">
        <x:v>Pending</x:v>
      </x:c>
      <x:c r="C28" s="20" t="str">
        <x:v>P0</x:v>
      </x:c>
      <x:c r="D28" s="4" t="str">
        <x:v>RamAndFifo</x:v>
      </x:c>
      <x:c r="E28" s="4" t="str">
        <x:v>RAM-backed FIFO</x:v>
      </x:c>
      <x:c r="F28" s="4" t="str">
        <x:v>Reset and first usable cycle</x:v>
      </x:c>
      <x:c r="G28" s="4" t="str">
        <x:v>clk, rst, wr_en, rd_en, wr_data, rd_data, full, empty</x:v>
      </x:c>
      <x:c r="H28" s="4" t="str">
        <x:v>Hold wr_en=rd_en=0. Assert rst=1, clock the design, then release reset away from the active edge.</x:v>
      </x:c>
      <x:c r="I28" s="4" t="str">
        <x:v>After the specified reset event: empty=1 and full=0; pointers/count are reset. rd_data is driven by an always-reading synchronous RAM, so it may change even when rd_en=0 or empty=1. Do not require output hold or reset-to-zero.</x:v>
      </x:c>
      <x:c r="J28" s="17"/>
      <x:c r="K28" s="24"/>
      <x:c r="L28" s="17"/>
      <x:c r="M28" s="17"/>
      <x:c r="N28" s="4" t="str">
        <x:v>integration/ram_and_fifo/rtl/sync_fifo_ram.v</x:v>
      </x:c>
      <x:c r="O28" s="25" t="str">
        <x:v>https://github.com/kapiltrip/RamAndFifo/blob/858ffb35bb31e70051ca25d6cb24e5aa5020bd41/integration/ram_and_fifo/rtl/sync_fifo_ram.v</x:v>
      </x:c>
      <x:c r="P28" s="4" t="str">
        <x:f>IF(B28="Done",IF(OR(J28="",K28="",L28=""),"Add run evidence","Recorded"),IF(OR(B28="Blocked",B28="N/A"),IF(M28="","Add reason","Reason recorded"),""))</x:f>
      </x:c>
      <x:c r="Q28" s="4" t="str">
        <x:v>858ffb35bb31e70051ca25d6cb24e5aa5020bd41</x:v>
      </x:c>
    </x:row>
    <x:row r="29" ht="86" customHeight="1">
      <x:c r="A29" s="15" t="str">
        <x:v>RF-022</x:v>
      </x:c>
      <x:c r="B29" s="19" t="str">
        <x:v>Pending</x:v>
      </x:c>
      <x:c r="C29" s="21" t="str">
        <x:v>P0</x:v>
      </x:c>
      <x:c r="D29" s="15" t="str">
        <x:v>RamAndFifo</x:v>
      </x:c>
      <x:c r="E29" s="15" t="str">
        <x:v>RAM-backed FIFO</x:v>
      </x:c>
      <x:c r="F29" s="15" t="str">
        <x:v>Single write then single read</x:v>
      </x:c>
      <x:c r="G29" s="15" t="str">
        <x:v>clk, rst, wr_en, rd_en, wr_data, rd_data, full, empty</x:v>
      </x:c>
      <x:c r="H29" s="15" t="str">
        <x:v>Write A5 with wr_en=1 while full=0; disable write; request one read with rd_en=1 while empty=0.</x:v>
      </x:c>
      <x:c r="I29" s="15" t="str">
        <x:v>empty clears after the write and asserts after the read. Compare rd_data AFTER the accepted clk edge and nonblocking updates, using the word at the pre-edge read pointer. Exactly one word is transferred.</x:v>
      </x:c>
      <x:c r="J29" s="17"/>
      <x:c r="K29" s="24"/>
      <x:c r="L29" s="17"/>
      <x:c r="M29" s="17"/>
      <x:c r="N29" s="15" t="str">
        <x:v>integration/ram_and_fifo/rtl/sync_fifo_ram.v</x:v>
      </x:c>
      <x:c r="O29" s="26" t="str">
        <x:v>https://github.com/kapiltrip/RamAndFifo/blob/858ffb35bb31e70051ca25d6cb24e5aa5020bd41/integration/ram_and_fifo/rtl/sync_fifo_ram.v</x:v>
      </x:c>
      <x:c r="P29" s="15" t="str">
        <x:f>IF(B29="Done",IF(OR(J29="",K29="",L29=""),"Add run evidence","Recorded"),IF(OR(B29="Blocked",B29="N/A"),IF(M29="","Add reason","Reason recorded"),""))</x:f>
      </x:c>
      <x:c r="Q29" s="15" t="str">
        <x:v>858ffb35bb31e70051ca25d6cb24e5aa5020bd41</x:v>
      </x:c>
    </x:row>
    <x:row r="30" ht="86" customHeight="1">
      <x:c r="A30" s="4" t="str">
        <x:v>RF-023</x:v>
      </x:c>
      <x:c r="B30" s="19" t="str">
        <x:v>Pending</x:v>
      </x:c>
      <x:c r="C30" s="20" t="str">
        <x:v>P0</x:v>
      </x:c>
      <x:c r="D30" s="4" t="str">
        <x:v>RamAndFifo</x:v>
      </x:c>
      <x:c r="E30" s="4" t="str">
        <x:v>RAM-backed FIFO</x:v>
      </x:c>
      <x:c r="F30" s="4" t="str">
        <x:v>Ordering and mixed data</x:v>
      </x:c>
      <x:c r="G30" s="4" t="str">
        <x:v>clk, rst, wr_en, rd_en, wr_data, rd_data, full, empty</x:v>
      </x:c>
      <x:c r="H30" s="4" t="str">
        <x:v>Write 10,22,35,48 with gaps, then drain using isolated and consecutive rd_en requests.</x:v>
      </x:c>
      <x:c r="I30" s="4" t="str">
        <x:v>Read values are 10,22,35,48 in that order. Compare rd_data AFTER the accepted clk edge and nonblocking updates, using the word at the pre-edge read pointer.</x:v>
      </x:c>
      <x:c r="J30" s="17"/>
      <x:c r="K30" s="24"/>
      <x:c r="L30" s="17"/>
      <x:c r="M30" s="17"/>
      <x:c r="N30" s="4" t="str">
        <x:v>integration/ram_and_fifo/rtl/sync_fifo_ram.v</x:v>
      </x:c>
      <x:c r="O30" s="25" t="str">
        <x:v>https://github.com/kapiltrip/RamAndFifo/blob/858ffb35bb31e70051ca25d6cb24e5aa5020bd41/integration/ram_and_fifo/rtl/sync_fifo_ram.v</x:v>
      </x:c>
      <x:c r="P30" s="4" t="str">
        <x:f>IF(B30="Done",IF(OR(J30="",K30="",L30=""),"Add run evidence","Recorded"),IF(OR(B30="Blocked",B30="N/A"),IF(M30="","Add reason","Reason recorded"),""))</x:f>
      </x:c>
      <x:c r="Q30" s="4" t="str">
        <x:v>858ffb35bb31e70051ca25d6cb24e5aa5020bd41</x:v>
      </x:c>
    </x:row>
    <x:row r="31" ht="86" customHeight="1">
      <x:c r="A31" s="15" t="str">
        <x:v>RF-024</x:v>
      </x:c>
      <x:c r="B31" s="19" t="str">
        <x:v>Pending</x:v>
      </x:c>
      <x:c r="C31" s="21" t="str">
        <x:v>P0</x:v>
      </x:c>
      <x:c r="D31" s="15" t="str">
        <x:v>RamAndFifo</x:v>
      </x:c>
      <x:c r="E31" s="15" t="str">
        <x:v>RAM-backed FIFO</x:v>
      </x:c>
      <x:c r="F31" s="15" t="str">
        <x:v>Fill to capacity and reject overflow</x:v>
      </x:c>
      <x:c r="G31" s="15" t="str">
        <x:v>clk, rst, wr_en, rd_en, wr_data, rd_data, full, empty</x:v>
      </x:c>
      <x:c r="H31" s="15" t="str">
        <x:v>With rd_en=0, issue exactly DEPTH writes (2^AW (default 16)); check one below full and full. Attempt three further writes with distinct data, then drain.</x:v>
      </x:c>
      <x:c r="I31" s="15" t="str">
        <x:v>full asserts only after the last available slot is used. Extra writes cannot move the write pointer or replace queued data. Draining returns the original DEPTH values.</x:v>
      </x:c>
      <x:c r="J31" s="17"/>
      <x:c r="K31" s="24"/>
      <x:c r="L31" s="17"/>
      <x:c r="M31" s="17"/>
      <x:c r="N31" s="15" t="str">
        <x:v>integration/ram_and_fifo/rtl/sync_fifo_ram.v</x:v>
      </x:c>
      <x:c r="O31" s="26" t="str">
        <x:v>https://github.com/kapiltrip/RamAndFifo/blob/858ffb35bb31e70051ca25d6cb24e5aa5020bd41/integration/ram_and_fifo/rtl/sync_fifo_ram.v</x:v>
      </x:c>
      <x:c r="P31" s="15" t="str">
        <x:f>IF(B31="Done",IF(OR(J31="",K31="",L31=""),"Add run evidence","Recorded"),IF(OR(B31="Blocked",B31="N/A"),IF(M31="","Add reason","Reason recorded"),""))</x:f>
      </x:c>
      <x:c r="Q31" s="15" t="str">
        <x:v>858ffb35bb31e70051ca25d6cb24e5aa5020bd41</x:v>
      </x:c>
    </x:row>
    <x:row r="32" ht="86" customHeight="1">
      <x:c r="A32" s="4" t="str">
        <x:v>RF-025</x:v>
      </x:c>
      <x:c r="B32" s="19" t="str">
        <x:v>Pending</x:v>
      </x:c>
      <x:c r="C32" s="20" t="str">
        <x:v>P0</x:v>
      </x:c>
      <x:c r="D32" s="4" t="str">
        <x:v>RamAndFifo</x:v>
      </x:c>
      <x:c r="E32" s="4" t="str">
        <x:v>RAM-backed FIFO</x:v>
      </x:c>
      <x:c r="F32" s="4" t="str">
        <x:v>Drain to empty and reject underflow</x:v>
      </x:c>
      <x:c r="G32" s="4" t="str">
        <x:v>clk, rst, wr_en, rd_en, wr_data, rd_data, full, empty</x:v>
      </x:c>
      <x:c r="H32" s="4" t="str">
        <x:v>Fill and drain exactly DEPTH accepted reads. Keep rd_en=1 for three additional clocks with wr_en=0.</x:v>
      </x:c>
      <x:c r="I32" s="4" t="str">
        <x:v>empty asserts on the last accepted pop; extra reads do not advance the read pointer or change occupancy. rd_data is driven by an always-reading synchronous RAM, so it may change even when rd_en=0 or empty=1. Do not require output hold or reset-to-zero.</x:v>
      </x:c>
      <x:c r="J32" s="17"/>
      <x:c r="K32" s="24"/>
      <x:c r="L32" s="17"/>
      <x:c r="M32" s="17"/>
      <x:c r="N32" s="4" t="str">
        <x:v>integration/ram_and_fifo/rtl/sync_fifo_ram.v</x:v>
      </x:c>
      <x:c r="O32" s="25" t="str">
        <x:v>https://github.com/kapiltrip/RamAndFifo/blob/858ffb35bb31e70051ca25d6cb24e5aa5020bd41/integration/ram_and_fifo/rtl/sync_fifo_ram.v</x:v>
      </x:c>
      <x:c r="P32" s="4" t="str">
        <x:f>IF(B32="Done",IF(OR(J32="",K32="",L32=""),"Add run evidence","Recorded"),IF(OR(B32="Blocked",B32="N/A"),IF(M32="","Add reason","Reason recorded"),""))</x:f>
      </x:c>
      <x:c r="Q32" s="4" t="str">
        <x:v>858ffb35bb31e70051ca25d6cb24e5aa5020bd41</x:v>
      </x:c>
    </x:row>
    <x:row r="33" ht="86" customHeight="1">
      <x:c r="A33" s="15" t="str">
        <x:v>RF-026</x:v>
      </x:c>
      <x:c r="B33" s="19" t="str">
        <x:v>Pending</x:v>
      </x:c>
      <x:c r="C33" s="21" t="str">
        <x:v>P0</x:v>
      </x:c>
      <x:c r="D33" s="15" t="str">
        <x:v>RamAndFifo</x:v>
      </x:c>
      <x:c r="E33" s="15" t="str">
        <x:v>RAM-backed FIFO</x:v>
      </x:c>
      <x:c r="F33" s="15" t="str">
        <x:v>Both enables in the middle</x:v>
      </x:c>
      <x:c r="G33" s="15" t="str">
        <x:v>clk, rst, wr_en, rd_en, wr_data, rd_data, full, empty</x:v>
      </x:c>
      <x:c r="H33" s="15" t="str">
        <x:v>Prefill to half capacity. Keep wr_en=rd_en=1 for at least 2*DEPTH clocks with a changing wr_data.</x:v>
      </x:c>
      <x:c r="I33" s="15" t="str">
        <x:v>Both operations are accepted on each edge and occupancy stays constant. The stream remains ordered across pointer wraps. Compare rd_data AFTER the accepted clk edge and nonblocking updates, using the word at the pre-edge read pointer.</x:v>
      </x:c>
      <x:c r="J33" s="17"/>
      <x:c r="K33" s="24"/>
      <x:c r="L33" s="17"/>
      <x:c r="M33" s="17"/>
      <x:c r="N33" s="15" t="str">
        <x:v>integration/ram_and_fifo/rtl/sync_fifo_ram.v</x:v>
      </x:c>
      <x:c r="O33" s="26" t="str">
        <x:v>https://github.com/kapiltrip/RamAndFifo/blob/858ffb35bb31e70051ca25d6cb24e5aa5020bd41/integration/ram_and_fifo/rtl/sync_fifo_ram.v</x:v>
      </x:c>
      <x:c r="P33" s="15" t="str">
        <x:f>IF(B33="Done",IF(OR(J33="",K33="",L33=""),"Add run evidence","Recorded"),IF(OR(B33="Blocked",B33="N/A"),IF(M33="","Add reason","Reason recorded"),""))</x:f>
      </x:c>
      <x:c r="Q33" s="15" t="str">
        <x:v>858ffb35bb31e70051ca25d6cb24e5aa5020bd41</x:v>
      </x:c>
    </x:row>
    <x:row r="34" ht="86" customHeight="1">
      <x:c r="A34" s="4" t="str">
        <x:v>RF-027</x:v>
      </x:c>
      <x:c r="B34" s="19" t="str">
        <x:v>Pending</x:v>
      </x:c>
      <x:c r="C34" s="20" t="str">
        <x:v>P0</x:v>
      </x:c>
      <x:c r="D34" s="4" t="str">
        <x:v>RamAndFifo</x:v>
      </x:c>
      <x:c r="E34" s="4" t="str">
        <x:v>RAM-backed FIFO</x:v>
      </x:c>
      <x:c r="F34" s="4" t="str">
        <x:v>Both enables when empty</x:v>
      </x:c>
      <x:c r="G34" s="4" t="str">
        <x:v>clk, rst, wr_en, rd_en, wr_data, rd_data, full, empty</x:v>
      </x:c>
      <x:c r="H34" s="4" t="str">
        <x:v>Reset empty, then assert wr_en=rd_en=1 for one edge with wr_data=3C.</x:v>
      </x:c>
      <x:c r="I34" s="4" t="str">
        <x:v>Only the write is accepted because the pre-edge empty=1. Occupancy becomes one. No same-edge bypass/pop of 3C is allowed.</x:v>
      </x:c>
      <x:c r="J34" s="17"/>
      <x:c r="K34" s="24"/>
      <x:c r="L34" s="17"/>
      <x:c r="M34" s="17"/>
      <x:c r="N34" s="4" t="str">
        <x:v>integration/ram_and_fifo/rtl/sync_fifo_ram.v</x:v>
      </x:c>
      <x:c r="O34" s="25" t="str">
        <x:v>https://github.com/kapiltrip/RamAndFifo/blob/858ffb35bb31e70051ca25d6cb24e5aa5020bd41/integration/ram_and_fifo/rtl/sync_fifo_ram.v</x:v>
      </x:c>
      <x:c r="P34" s="4" t="str">
        <x:f>IF(B34="Done",IF(OR(J34="",K34="",L34=""),"Add run evidence","Recorded"),IF(OR(B34="Blocked",B34="N/A"),IF(M34="","Add reason","Reason recorded"),""))</x:f>
      </x:c>
      <x:c r="Q34" s="4" t="str">
        <x:v>858ffb35bb31e70051ca25d6cb24e5aa5020bd41</x:v>
      </x:c>
    </x:row>
    <x:row r="35" ht="86" customHeight="1">
      <x:c r="A35" s="15" t="str">
        <x:v>RF-028</x:v>
      </x:c>
      <x:c r="B35" s="19" t="str">
        <x:v>Pending</x:v>
      </x:c>
      <x:c r="C35" s="21" t="str">
        <x:v>P0</x:v>
      </x:c>
      <x:c r="D35" s="15" t="str">
        <x:v>RamAndFifo</x:v>
      </x:c>
      <x:c r="E35" s="15" t="str">
        <x:v>RAM-backed FIFO</x:v>
      </x:c>
      <x:c r="F35" s="15" t="str">
        <x:v>Both enables when full</x:v>
      </x:c>
      <x:c r="G35" s="15" t="str">
        <x:v>clk, rst, wr_en, rd_en, wr_data, rd_data, full, empty</x:v>
      </x:c>
      <x:c r="H35" s="15" t="str">
        <x:v>Fill to capacity; assert wr_en=rd_en=1 for one edge with a new wr_data.</x:v>
      </x:c>
      <x:c r="I35" s="15" t="str">
        <x:v>Only the read is accepted because pre-edge full=1; the write is blocked and occupancy becomes DEPTH-1. Resend the new word later if it must be stored.</x:v>
      </x:c>
      <x:c r="J35" s="17"/>
      <x:c r="K35" s="24"/>
      <x:c r="L35" s="17"/>
      <x:c r="M35" s="17"/>
      <x:c r="N35" s="15" t="str">
        <x:v>integration/ram_and_fifo/rtl/sync_fifo_ram.v</x:v>
      </x:c>
      <x:c r="O35" s="26" t="str">
        <x:v>https://github.com/kapiltrip/RamAndFifo/blob/858ffb35bb31e70051ca25d6cb24e5aa5020bd41/integration/ram_and_fifo/rtl/sync_fifo_ram.v</x:v>
      </x:c>
      <x:c r="P35" s="15" t="str">
        <x:f>IF(B35="Done",IF(OR(J35="",K35="",L35=""),"Add run evidence","Recorded"),IF(OR(B35="Blocked",B35="N/A"),IF(M35="","Add reason","Reason recorded"),""))</x:f>
      </x:c>
      <x:c r="Q35" s="15" t="str">
        <x:v>858ffb35bb31e70051ca25d6cb24e5aa5020bd41</x:v>
      </x:c>
    </x:row>
    <x:row r="36" ht="86" customHeight="1">
      <x:c r="A36" s="4" t="str">
        <x:v>RF-029</x:v>
      </x:c>
      <x:c r="B36" s="19" t="str">
        <x:v>Pending</x:v>
      </x:c>
      <x:c r="C36" s="4" t="str">
        <x:v>P1</x:v>
      </x:c>
      <x:c r="D36" s="4" t="str">
        <x:v>RamAndFifo</x:v>
      </x:c>
      <x:c r="E36" s="4" t="str">
        <x:v>RAM-backed FIFO</x:v>
      </x:c>
      <x:c r="F36" s="4" t="str">
        <x:v>Idle and output validity</x:v>
      </x:c>
      <x:c r="G36" s="4" t="str">
        <x:v>clk, rst, wr_en, rd_en, wr_data, rd_data, full, empty</x:v>
      </x:c>
      <x:c r="H36" s="4" t="str">
        <x:v>Pause both enables at empty, one word, half-full and full. Toggle wr_data while idle.</x:v>
      </x:c>
      <x:c r="I36" s="4" t="str">
        <x:v>Pointers/count and flags hold. rd_data is driven by an always-reading synchronous RAM, so it may change even when rd_en=0 or empty=1. Do not require output hold or reset-to-zero.</x:v>
      </x:c>
      <x:c r="J36" s="17"/>
      <x:c r="K36" s="24"/>
      <x:c r="L36" s="17"/>
      <x:c r="M36" s="17"/>
      <x:c r="N36" s="4" t="str">
        <x:v>integration/ram_and_fifo/rtl/sync_fifo_ram.v</x:v>
      </x:c>
      <x:c r="O36" s="25" t="str">
        <x:v>https://github.com/kapiltrip/RamAndFifo/blob/858ffb35bb31e70051ca25d6cb24e5aa5020bd41/integration/ram_and_fifo/rtl/sync_fifo_ram.v</x:v>
      </x:c>
      <x:c r="P36" s="4" t="str">
        <x:f>IF(B36="Done",IF(OR(J36="",K36="",L36=""),"Add run evidence","Recorded"),IF(OR(B36="Blocked",B36="N/A"),IF(M36="","Add reason","Reason recorded"),""))</x:f>
      </x:c>
      <x:c r="Q36" s="4" t="str">
        <x:v>858ffb35bb31e70051ca25d6cb24e5aa5020bd41</x:v>
      </x:c>
    </x:row>
    <x:row r="37" ht="86" customHeight="1">
      <x:c r="A37" s="15" t="str">
        <x:v>RF-030</x:v>
      </x:c>
      <x:c r="B37" s="19" t="str">
        <x:v>Pending</x:v>
      </x:c>
      <x:c r="C37" s="15" t="str">
        <x:v>P1</x:v>
      </x:c>
      <x:c r="D37" s="15" t="str">
        <x:v>RamAndFifo</x:v>
      </x:c>
      <x:c r="E37" s="15" t="str">
        <x:v>RAM-backed FIFO</x:v>
      </x:c>
      <x:c r="F37" s="15" t="str">
        <x:v>Repeated wraparound</x:v>
      </x:c>
      <x:c r="G37" s="15" t="str">
        <x:v>clk, rst, wr_en, rd_en, wr_data, rd_data, full, empty</x:v>
      </x:c>
      <x:c r="H37" s="15" t="str">
        <x:v>Alternate fill/drain and mixed bursts until each pointer wraps at least four times. Use a sequence number for every accepted write.</x:v>
      </x:c>
      <x:c r="I37" s="15" t="str">
        <x:v>No duplication, loss or reordering. Counts stay between zero and DEPTH; full and empty cannot both be true.</x:v>
      </x:c>
      <x:c r="J37" s="17"/>
      <x:c r="K37" s="24"/>
      <x:c r="L37" s="17"/>
      <x:c r="M37" s="17"/>
      <x:c r="N37" s="15" t="str">
        <x:v>integration/ram_and_fifo/rtl/sync_fifo_ram.v</x:v>
      </x:c>
      <x:c r="O37" s="26" t="str">
        <x:v>https://github.com/kapiltrip/RamAndFifo/blob/858ffb35bb31e70051ca25d6cb24e5aa5020bd41/integration/ram_and_fifo/rtl/sync_fifo_ram.v</x:v>
      </x:c>
      <x:c r="P37" s="15" t="str">
        <x:f>IF(B37="Done",IF(OR(J37="",K37="",L37=""),"Add run evidence","Recorded"),IF(OR(B37="Blocked",B37="N/A"),IF(M37="","Add reason","Reason recorded"),""))</x:f>
      </x:c>
      <x:c r="Q37" s="15" t="str">
        <x:v>858ffb35bb31e70051ca25d6cb24e5aa5020bd41</x:v>
      </x:c>
    </x:row>
    <x:row r="38" ht="86" customHeight="1">
      <x:c r="A38" s="4" t="str">
        <x:v>RF-031</x:v>
      </x:c>
      <x:c r="B38" s="19" t="str">
        <x:v>Pending</x:v>
      </x:c>
      <x:c r="C38" s="4" t="str">
        <x:v>P1</x:v>
      </x:c>
      <x:c r="D38" s="4" t="str">
        <x:v>RamAndFifo</x:v>
      </x:c>
      <x:c r="E38" s="4" t="str">
        <x:v>RAM-backed FIFO</x:v>
      </x:c>
      <x:c r="F38" s="4" t="str">
        <x:v>Reset with queued traffic</x:v>
      </x:c>
      <x:c r="G38" s="4" t="str">
        <x:v>clk, rst, wr_en, rd_en, wr_data, rd_data, full, empty</x:v>
      </x:c>
      <x:c r="H38" s="4" t="str">
        <x:v>Prefill, assert rst during traffic, then hold enables low through reset. Discard the software reference queue; release reset and write fresh values.</x:v>
      </x:c>
      <x:c r="I38" s="4" t="str">
        <x:v>Old queued values are discarded logically. The first fresh drain returns only post-reset accepted writes. rd_data is driven by an always-reading synchronous RAM, so it may change even when rd_en=0 or empty=1. Do not require output hold or reset-to-zero.</x:v>
      </x:c>
      <x:c r="J38" s="17"/>
      <x:c r="K38" s="24"/>
      <x:c r="L38" s="17"/>
      <x:c r="M38" s="17"/>
      <x:c r="N38" s="4" t="str">
        <x:v>integration/ram_and_fifo/rtl/sync_fifo_ram.v</x:v>
      </x:c>
      <x:c r="O38" s="25" t="str">
        <x:v>https://github.com/kapiltrip/RamAndFifo/blob/858ffb35bb31e70051ca25d6cb24e5aa5020bd41/integration/ram_and_fifo/rtl/sync_fifo_ram.v</x:v>
      </x:c>
      <x:c r="P38" s="4" t="str">
        <x:f>IF(B38="Done",IF(OR(J38="",K38="",L38=""),"Add run evidence","Recorded"),IF(OR(B38="Blocked",B38="N/A"),IF(M38="","Add reason","Reason recorded"),""))</x:f>
      </x:c>
      <x:c r="Q38" s="4" t="str">
        <x:v>858ffb35bb31e70051ca25d6cb24e5aa5020bd41</x:v>
      </x:c>
    </x:row>
    <x:row r="39" ht="86" customHeight="1">
      <x:c r="A39" s="15" t="str">
        <x:v>RF-032</x:v>
      </x:c>
      <x:c r="B39" s="19" t="str">
        <x:v>Pending</x:v>
      </x:c>
      <x:c r="C39" s="15" t="str">
        <x:v>P2</x:v>
      </x:c>
      <x:c r="D39" s="15" t="str">
        <x:v>RamAndFifo</x:v>
      </x:c>
      <x:c r="E39" s="15" t="str">
        <x:v>RAM-backed FIFO</x:v>
      </x:c>
      <x:c r="F39" s="15" t="str">
        <x:v>Random bursts with a reference queue</x:v>
      </x:c>
      <x:c r="G39" s="15" t="str">
        <x:v>clk, rst, wr_en, rd_en, wr_data, rd_data, full, empty</x:v>
      </x:c>
      <x:c r="H39" s="15" t="str">
        <x:v>Run 1000 or more edges for each of three recorded seeds. Bias requests toward empty/full and one-away states. Queue only writes accepted by pre-edge flags and dequeue only accepted reads.</x:v>
      </x:c>
      <x:c r="I39" s="15" t="str">
        <x:v>Every accepted read matches the oldest reference word. End by draining and proving the reference queue empty. Compare rd_data AFTER the accepted clk edge and nonblocking updates, using the word at the pre-edge read pointer.</x:v>
      </x:c>
      <x:c r="J39" s="17"/>
      <x:c r="K39" s="24"/>
      <x:c r="L39" s="17"/>
      <x:c r="M39" s="17"/>
      <x:c r="N39" s="15" t="str">
        <x:v>integration/ram_and_fifo/rtl/sync_fifo_ram.v</x:v>
      </x:c>
      <x:c r="O39" s="26" t="str">
        <x:v>https://github.com/kapiltrip/RamAndFifo/blob/858ffb35bb31e70051ca25d6cb24e5aa5020bd41/integration/ram_and_fifo/rtl/sync_fifo_ram.v</x:v>
      </x:c>
      <x:c r="P39" s="15" t="str">
        <x:f>IF(B39="Done",IF(OR(J39="",K39="",L39=""),"Add run evidence","Recorded"),IF(OR(B39="Blocked",B39="N/A"),IF(M39="","Add reason","Reason recorded"),""))</x:f>
      </x:c>
      <x:c r="Q39" s="15" t="str">
        <x:v>858ffb35bb31e70051ca25d6cb24e5aa5020bd41</x:v>
      </x:c>
    </x:row>
    <x:row r="40" ht="86" customHeight="1">
      <x:c r="A40" s="4" t="str">
        <x:v>RF-033</x:v>
      </x:c>
      <x:c r="B40" s="19" t="str">
        <x:v>Pending</x:v>
      </x:c>
      <x:c r="C40" s="20" t="str">
        <x:v>P0</x:v>
      </x:c>
      <x:c r="D40" s="4" t="str">
        <x:v>RamAndFifo</x:v>
      </x:c>
      <x:c r="E40" s="4" t="str">
        <x:v>Wrapper FIFO</x:v>
      </x:c>
      <x:c r="F40" s="4" t="str">
        <x:v>Reset and first usable cycle</x:v>
      </x:c>
      <x:c r="G40" s="4" t="str">
        <x:v>clk, rst, wren, rden, din, dout, full, empty</x:v>
      </x:c>
      <x:c r="H40" s="4" t="str">
        <x:v>Hold wren=rden=0. Assert rst=1, clock the design, then release reset away from the active edge.</x:v>
      </x:c>
      <x:c r="I40" s="4" t="str">
        <x:v>After the specified reset event: empty=1 and full=0; pointers/count are reset. dout is driven by an always-reading synchronous RAM, so it may change even when rden=0 or empty=1. Do not require output hold or reset-to-zero.</x:v>
      </x:c>
      <x:c r="J40" s="17"/>
      <x:c r="K40" s="24"/>
      <x:c r="L40" s="17"/>
      <x:c r="M40" s="17"/>
      <x:c r="N40" s="4" t="str">
        <x:v>integration/ram_and_fifo/rtl/syncFifo.v</x:v>
      </x:c>
      <x:c r="O40" s="25" t="str">
        <x:v>https://github.com/kapiltrip/RamAndFifo/blob/858ffb35bb31e70051ca25d6cb24e5aa5020bd41/integration/ram_and_fifo/rtl/syncFifo.v</x:v>
      </x:c>
      <x:c r="P40" s="4" t="str">
        <x:f>IF(B40="Done",IF(OR(J40="",K40="",L40=""),"Add run evidence","Recorded"),IF(OR(B40="Blocked",B40="N/A"),IF(M40="","Add reason","Reason recorded"),""))</x:f>
      </x:c>
      <x:c r="Q40" s="4" t="str">
        <x:v>858ffb35bb31e70051ca25d6cb24e5aa5020bd41</x:v>
      </x:c>
    </x:row>
    <x:row r="41" ht="86" customHeight="1">
      <x:c r="A41" s="15" t="str">
        <x:v>RF-034</x:v>
      </x:c>
      <x:c r="B41" s="19" t="str">
        <x:v>Pending</x:v>
      </x:c>
      <x:c r="C41" s="21" t="str">
        <x:v>P0</x:v>
      </x:c>
      <x:c r="D41" s="15" t="str">
        <x:v>RamAndFifo</x:v>
      </x:c>
      <x:c r="E41" s="15" t="str">
        <x:v>Wrapper FIFO</x:v>
      </x:c>
      <x:c r="F41" s="15" t="str">
        <x:v>Single write then single read</x:v>
      </x:c>
      <x:c r="G41" s="15" t="str">
        <x:v>clk, rst, wren, rden, din, dout, full, empty</x:v>
      </x:c>
      <x:c r="H41" s="15" t="str">
        <x:v>Write A5 with wren=1 while full=0; disable write; request one read with rden=1 while empty=0.</x:v>
      </x:c>
      <x:c r="I41" s="15" t="str">
        <x:v>empty clears after the write and asserts after the read. Compare dout AFTER the accepted clk edge and nonblocking updates, using the word at the pre-edge read pointer. Exactly one word is transferred.</x:v>
      </x:c>
      <x:c r="J41" s="17"/>
      <x:c r="K41" s="24"/>
      <x:c r="L41" s="17"/>
      <x:c r="M41" s="17"/>
      <x:c r="N41" s="15" t="str">
        <x:v>integration/ram_and_fifo/rtl/syncFifo.v</x:v>
      </x:c>
      <x:c r="O41" s="26" t="str">
        <x:v>https://github.com/kapiltrip/RamAndFifo/blob/858ffb35bb31e70051ca25d6cb24e5aa5020bd41/integration/ram_and_fifo/rtl/syncFifo.v</x:v>
      </x:c>
      <x:c r="P41" s="15" t="str">
        <x:f>IF(B41="Done",IF(OR(J41="",K41="",L41=""),"Add run evidence","Recorded"),IF(OR(B41="Blocked",B41="N/A"),IF(M41="","Add reason","Reason recorded"),""))</x:f>
      </x:c>
      <x:c r="Q41" s="15" t="str">
        <x:v>858ffb35bb31e70051ca25d6cb24e5aa5020bd41</x:v>
      </x:c>
    </x:row>
    <x:row r="42" ht="86" customHeight="1">
      <x:c r="A42" s="4" t="str">
        <x:v>RF-035</x:v>
      </x:c>
      <x:c r="B42" s="19" t="str">
        <x:v>Pending</x:v>
      </x:c>
      <x:c r="C42" s="20" t="str">
        <x:v>P0</x:v>
      </x:c>
      <x:c r="D42" s="4" t="str">
        <x:v>RamAndFifo</x:v>
      </x:c>
      <x:c r="E42" s="4" t="str">
        <x:v>Wrapper FIFO</x:v>
      </x:c>
      <x:c r="F42" s="4" t="str">
        <x:v>Ordering and mixed data</x:v>
      </x:c>
      <x:c r="G42" s="4" t="str">
        <x:v>clk, rst, wren, rden, din, dout, full, empty</x:v>
      </x:c>
      <x:c r="H42" s="4" t="str">
        <x:v>Write 10,22,35,48 with gaps, then drain using isolated and consecutive rden requests.</x:v>
      </x:c>
      <x:c r="I42" s="4" t="str">
        <x:v>Read values are 10,22,35,48 in that order. Compare dout AFTER the accepted clk edge and nonblocking updates, using the word at the pre-edge read pointer.</x:v>
      </x:c>
      <x:c r="J42" s="17"/>
      <x:c r="K42" s="24"/>
      <x:c r="L42" s="17"/>
      <x:c r="M42" s="17"/>
      <x:c r="N42" s="4" t="str">
        <x:v>integration/ram_and_fifo/rtl/syncFifo.v</x:v>
      </x:c>
      <x:c r="O42" s="25" t="str">
        <x:v>https://github.com/kapiltrip/RamAndFifo/blob/858ffb35bb31e70051ca25d6cb24e5aa5020bd41/integration/ram_and_fifo/rtl/syncFifo.v</x:v>
      </x:c>
      <x:c r="P42" s="4" t="str">
        <x:f>IF(B42="Done",IF(OR(J42="",K42="",L42=""),"Add run evidence","Recorded"),IF(OR(B42="Blocked",B42="N/A"),IF(M42="","Add reason","Reason recorded"),""))</x:f>
      </x:c>
      <x:c r="Q42" s="4" t="str">
        <x:v>858ffb35bb31e70051ca25d6cb24e5aa5020bd41</x:v>
      </x:c>
    </x:row>
    <x:row r="43" ht="86" customHeight="1">
      <x:c r="A43" s="15" t="str">
        <x:v>RF-036</x:v>
      </x:c>
      <x:c r="B43" s="19" t="str">
        <x:v>Pending</x:v>
      </x:c>
      <x:c r="C43" s="21" t="str">
        <x:v>P0</x:v>
      </x:c>
      <x:c r="D43" s="15" t="str">
        <x:v>RamAndFifo</x:v>
      </x:c>
      <x:c r="E43" s="15" t="str">
        <x:v>Wrapper FIFO</x:v>
      </x:c>
      <x:c r="F43" s="15" t="str">
        <x:v>Fill to capacity and reject overflow</x:v>
      </x:c>
      <x:c r="G43" s="15" t="str">
        <x:v>clk, rst, wren, rden, din, dout, full, empty</x:v>
      </x:c>
      <x:c r="H43" s="15" t="str">
        <x:v>With rden=0, issue exactly DEPTH writes (2^aw (default 16)); check one below full and full. Attempt three further writes with distinct data, then drain.</x:v>
      </x:c>
      <x:c r="I43" s="15" t="str">
        <x:v>full asserts only after the last available slot is used. Extra writes cannot move the write pointer or replace queued data. Draining returns the original DEPTH values.</x:v>
      </x:c>
      <x:c r="J43" s="17"/>
      <x:c r="K43" s="24"/>
      <x:c r="L43" s="17"/>
      <x:c r="M43" s="17"/>
      <x:c r="N43" s="15" t="str">
        <x:v>integration/ram_and_fifo/rtl/syncFifo.v</x:v>
      </x:c>
      <x:c r="O43" s="26" t="str">
        <x:v>https://github.com/kapiltrip/RamAndFifo/blob/858ffb35bb31e70051ca25d6cb24e5aa5020bd41/integration/ram_and_fifo/rtl/syncFifo.v</x:v>
      </x:c>
      <x:c r="P43" s="15" t="str">
        <x:f>IF(B43="Done",IF(OR(J43="",K43="",L43=""),"Add run evidence","Recorded"),IF(OR(B43="Blocked",B43="N/A"),IF(M43="","Add reason","Reason recorded"),""))</x:f>
      </x:c>
      <x:c r="Q43" s="15" t="str">
        <x:v>858ffb35bb31e70051ca25d6cb24e5aa5020bd41</x:v>
      </x:c>
    </x:row>
    <x:row r="44" ht="86" customHeight="1">
      <x:c r="A44" s="4" t="str">
        <x:v>RF-037</x:v>
      </x:c>
      <x:c r="B44" s="19" t="str">
        <x:v>Pending</x:v>
      </x:c>
      <x:c r="C44" s="20" t="str">
        <x:v>P0</x:v>
      </x:c>
      <x:c r="D44" s="4" t="str">
        <x:v>RamAndFifo</x:v>
      </x:c>
      <x:c r="E44" s="4" t="str">
        <x:v>Wrapper FIFO</x:v>
      </x:c>
      <x:c r="F44" s="4" t="str">
        <x:v>Drain to empty and reject underflow</x:v>
      </x:c>
      <x:c r="G44" s="4" t="str">
        <x:v>clk, rst, wren, rden, din, dout, full, empty</x:v>
      </x:c>
      <x:c r="H44" s="4" t="str">
        <x:v>Fill and drain exactly DEPTH accepted reads. Keep rden=1 for three additional clocks with wren=0.</x:v>
      </x:c>
      <x:c r="I44" s="4" t="str">
        <x:v>empty asserts on the last accepted pop; extra reads do not advance the read pointer or change occupancy. dout is driven by an always-reading synchronous RAM, so it may change even when rden=0 or empty=1. Do not require output hold or reset-to-zero.</x:v>
      </x:c>
      <x:c r="J44" s="17"/>
      <x:c r="K44" s="24"/>
      <x:c r="L44" s="17"/>
      <x:c r="M44" s="17"/>
      <x:c r="N44" s="4" t="str">
        <x:v>integration/ram_and_fifo/rtl/syncFifo.v</x:v>
      </x:c>
      <x:c r="O44" s="25" t="str">
        <x:v>https://github.com/kapiltrip/RamAndFifo/blob/858ffb35bb31e70051ca25d6cb24e5aa5020bd41/integration/ram_and_fifo/rtl/syncFifo.v</x:v>
      </x:c>
      <x:c r="P44" s="4" t="str">
        <x:f>IF(B44="Done",IF(OR(J44="",K44="",L44=""),"Add run evidence","Recorded"),IF(OR(B44="Blocked",B44="N/A"),IF(M44="","Add reason","Reason recorded"),""))</x:f>
      </x:c>
      <x:c r="Q44" s="4" t="str">
        <x:v>858ffb35bb31e70051ca25d6cb24e5aa5020bd41</x:v>
      </x:c>
    </x:row>
    <x:row r="45" ht="86" customHeight="1">
      <x:c r="A45" s="15" t="str">
        <x:v>RF-038</x:v>
      </x:c>
      <x:c r="B45" s="19" t="str">
        <x:v>Pending</x:v>
      </x:c>
      <x:c r="C45" s="21" t="str">
        <x:v>P0</x:v>
      </x:c>
      <x:c r="D45" s="15" t="str">
        <x:v>RamAndFifo</x:v>
      </x:c>
      <x:c r="E45" s="15" t="str">
        <x:v>Wrapper FIFO</x:v>
      </x:c>
      <x:c r="F45" s="15" t="str">
        <x:v>Both enables in the middle</x:v>
      </x:c>
      <x:c r="G45" s="15" t="str">
        <x:v>clk, rst, wren, rden, din, dout, full, empty</x:v>
      </x:c>
      <x:c r="H45" s="15" t="str">
        <x:v>Prefill to half capacity. Keep wren=rden=1 for at least 2*DEPTH clocks with a changing din.</x:v>
      </x:c>
      <x:c r="I45" s="15" t="str">
        <x:v>Both operations are accepted on each edge and occupancy stays constant. The stream remains ordered across pointer wraps. Compare dout AFTER the accepted clk edge and nonblocking updates, using the word at the pre-edge read pointer.</x:v>
      </x:c>
      <x:c r="J45" s="17"/>
      <x:c r="K45" s="24"/>
      <x:c r="L45" s="17"/>
      <x:c r="M45" s="17"/>
      <x:c r="N45" s="15" t="str">
        <x:v>integration/ram_and_fifo/rtl/syncFifo.v</x:v>
      </x:c>
      <x:c r="O45" s="26" t="str">
        <x:v>https://github.com/kapiltrip/RamAndFifo/blob/858ffb35bb31e70051ca25d6cb24e5aa5020bd41/integration/ram_and_fifo/rtl/syncFifo.v</x:v>
      </x:c>
      <x:c r="P45" s="15" t="str">
        <x:f>IF(B45="Done",IF(OR(J45="",K45="",L45=""),"Add run evidence","Recorded"),IF(OR(B45="Blocked",B45="N/A"),IF(M45="","Add reason","Reason recorded"),""))</x:f>
      </x:c>
      <x:c r="Q45" s="15" t="str">
        <x:v>858ffb35bb31e70051ca25d6cb24e5aa5020bd41</x:v>
      </x:c>
    </x:row>
    <x:row r="46" ht="86" customHeight="1">
      <x:c r="A46" s="4" t="str">
        <x:v>RF-039</x:v>
      </x:c>
      <x:c r="B46" s="19" t="str">
        <x:v>Pending</x:v>
      </x:c>
      <x:c r="C46" s="20" t="str">
        <x:v>P0</x:v>
      </x:c>
      <x:c r="D46" s="4" t="str">
        <x:v>RamAndFifo</x:v>
      </x:c>
      <x:c r="E46" s="4" t="str">
        <x:v>Wrapper FIFO</x:v>
      </x:c>
      <x:c r="F46" s="4" t="str">
        <x:v>Both enables when empty</x:v>
      </x:c>
      <x:c r="G46" s="4" t="str">
        <x:v>clk, rst, wren, rden, din, dout, full, empty</x:v>
      </x:c>
      <x:c r="H46" s="4" t="str">
        <x:v>Reset empty, then assert wren=rden=1 for one edge with din=3C.</x:v>
      </x:c>
      <x:c r="I46" s="4" t="str">
        <x:v>Only the write is accepted because the pre-edge empty=1. Occupancy becomes one. No same-edge bypass/pop of 3C is allowed.</x:v>
      </x:c>
      <x:c r="J46" s="17"/>
      <x:c r="K46" s="24"/>
      <x:c r="L46" s="17"/>
      <x:c r="M46" s="17"/>
      <x:c r="N46" s="4" t="str">
        <x:v>integration/ram_and_fifo/rtl/syncFifo.v</x:v>
      </x:c>
      <x:c r="O46" s="25" t="str">
        <x:v>https://github.com/kapiltrip/RamAndFifo/blob/858ffb35bb31e70051ca25d6cb24e5aa5020bd41/integration/ram_and_fifo/rtl/syncFifo.v</x:v>
      </x:c>
      <x:c r="P46" s="4" t="str">
        <x:f>IF(B46="Done",IF(OR(J46="",K46="",L46=""),"Add run evidence","Recorded"),IF(OR(B46="Blocked",B46="N/A"),IF(M46="","Add reason","Reason recorded"),""))</x:f>
      </x:c>
      <x:c r="Q46" s="4" t="str">
        <x:v>858ffb35bb31e70051ca25d6cb24e5aa5020bd41</x:v>
      </x:c>
    </x:row>
    <x:row r="47" ht="86" customHeight="1">
      <x:c r="A47" s="15" t="str">
        <x:v>RF-040</x:v>
      </x:c>
      <x:c r="B47" s="19" t="str">
        <x:v>Pending</x:v>
      </x:c>
      <x:c r="C47" s="21" t="str">
        <x:v>P0</x:v>
      </x:c>
      <x:c r="D47" s="15" t="str">
        <x:v>RamAndFifo</x:v>
      </x:c>
      <x:c r="E47" s="15" t="str">
        <x:v>Wrapper FIFO</x:v>
      </x:c>
      <x:c r="F47" s="15" t="str">
        <x:v>Both enables when full</x:v>
      </x:c>
      <x:c r="G47" s="15" t="str">
        <x:v>clk, rst, wren, rden, din, dout, full, empty</x:v>
      </x:c>
      <x:c r="H47" s="15" t="str">
        <x:v>Fill to capacity; assert wren=rden=1 for one edge with a new din.</x:v>
      </x:c>
      <x:c r="I47" s="15" t="str">
        <x:v>Only the read is accepted because pre-edge full=1; the write is blocked and occupancy becomes DEPTH-1. Resend the new word later if it must be stored.</x:v>
      </x:c>
      <x:c r="J47" s="17"/>
      <x:c r="K47" s="24"/>
      <x:c r="L47" s="17"/>
      <x:c r="M47" s="17"/>
      <x:c r="N47" s="15" t="str">
        <x:v>integration/ram_and_fifo/rtl/syncFifo.v</x:v>
      </x:c>
      <x:c r="O47" s="26" t="str">
        <x:v>https://github.com/kapiltrip/RamAndFifo/blob/858ffb35bb31e70051ca25d6cb24e5aa5020bd41/integration/ram_and_fifo/rtl/syncFifo.v</x:v>
      </x:c>
      <x:c r="P47" s="15" t="str">
        <x:f>IF(B47="Done",IF(OR(J47="",K47="",L47=""),"Add run evidence","Recorded"),IF(OR(B47="Blocked",B47="N/A"),IF(M47="","Add reason","Reason recorded"),""))</x:f>
      </x:c>
      <x:c r="Q47" s="15" t="str">
        <x:v>858ffb35bb31e70051ca25d6cb24e5aa5020bd41</x:v>
      </x:c>
    </x:row>
    <x:row r="48" ht="86" customHeight="1">
      <x:c r="A48" s="4" t="str">
        <x:v>RF-041</x:v>
      </x:c>
      <x:c r="B48" s="19" t="str">
        <x:v>Pending</x:v>
      </x:c>
      <x:c r="C48" s="4" t="str">
        <x:v>P1</x:v>
      </x:c>
      <x:c r="D48" s="4" t="str">
        <x:v>RamAndFifo</x:v>
      </x:c>
      <x:c r="E48" s="4" t="str">
        <x:v>Wrapper FIFO</x:v>
      </x:c>
      <x:c r="F48" s="4" t="str">
        <x:v>Idle and output validity</x:v>
      </x:c>
      <x:c r="G48" s="4" t="str">
        <x:v>clk, rst, wren, rden, din, dout, full, empty</x:v>
      </x:c>
      <x:c r="H48" s="4" t="str">
        <x:v>Pause both enables at empty, one word, half-full and full. Toggle din while idle.</x:v>
      </x:c>
      <x:c r="I48" s="4" t="str">
        <x:v>Pointers/count and flags hold. dout is driven by an always-reading synchronous RAM, so it may change even when rden=0 or empty=1. Do not require output hold or reset-to-zero.</x:v>
      </x:c>
      <x:c r="J48" s="17"/>
      <x:c r="K48" s="24"/>
      <x:c r="L48" s="17"/>
      <x:c r="M48" s="17"/>
      <x:c r="N48" s="4" t="str">
        <x:v>integration/ram_and_fifo/rtl/syncFifo.v</x:v>
      </x:c>
      <x:c r="O48" s="25" t="str">
        <x:v>https://github.com/kapiltrip/RamAndFifo/blob/858ffb35bb31e70051ca25d6cb24e5aa5020bd41/integration/ram_and_fifo/rtl/syncFifo.v</x:v>
      </x:c>
      <x:c r="P48" s="4" t="str">
        <x:f>IF(B48="Done",IF(OR(J48="",K48="",L48=""),"Add run evidence","Recorded"),IF(OR(B48="Blocked",B48="N/A"),IF(M48="","Add reason","Reason recorded"),""))</x:f>
      </x:c>
      <x:c r="Q48" s="4" t="str">
        <x:v>858ffb35bb31e70051ca25d6cb24e5aa5020bd41</x:v>
      </x:c>
    </x:row>
    <x:row r="49" ht="86" customHeight="1">
      <x:c r="A49" s="15" t="str">
        <x:v>RF-042</x:v>
      </x:c>
      <x:c r="B49" s="19" t="str">
        <x:v>Pending</x:v>
      </x:c>
      <x:c r="C49" s="15" t="str">
        <x:v>P1</x:v>
      </x:c>
      <x:c r="D49" s="15" t="str">
        <x:v>RamAndFifo</x:v>
      </x:c>
      <x:c r="E49" s="15" t="str">
        <x:v>Wrapper FIFO</x:v>
      </x:c>
      <x:c r="F49" s="15" t="str">
        <x:v>Repeated wraparound</x:v>
      </x:c>
      <x:c r="G49" s="15" t="str">
        <x:v>clk, rst, wren, rden, din, dout, full, empty</x:v>
      </x:c>
      <x:c r="H49" s="15" t="str">
        <x:v>Alternate fill/drain and mixed bursts until each pointer wraps at least four times. Use a sequence number for every accepted write.</x:v>
      </x:c>
      <x:c r="I49" s="15" t="str">
        <x:v>No duplication, loss or reordering. Counts stay between zero and DEPTH; full and empty cannot both be true.</x:v>
      </x:c>
      <x:c r="J49" s="17"/>
      <x:c r="K49" s="24"/>
      <x:c r="L49" s="17"/>
      <x:c r="M49" s="17"/>
      <x:c r="N49" s="15" t="str">
        <x:v>integration/ram_and_fifo/rtl/syncFifo.v</x:v>
      </x:c>
      <x:c r="O49" s="26" t="str">
        <x:v>https://github.com/kapiltrip/RamAndFifo/blob/858ffb35bb31e70051ca25d6cb24e5aa5020bd41/integration/ram_and_fifo/rtl/syncFifo.v</x:v>
      </x:c>
      <x:c r="P49" s="15" t="str">
        <x:f>IF(B49="Done",IF(OR(J49="",K49="",L49=""),"Add run evidence","Recorded"),IF(OR(B49="Blocked",B49="N/A"),IF(M49="","Add reason","Reason recorded"),""))</x:f>
      </x:c>
      <x:c r="Q49" s="15" t="str">
        <x:v>858ffb35bb31e70051ca25d6cb24e5aa5020bd41</x:v>
      </x:c>
    </x:row>
    <x:row r="50" ht="86" customHeight="1">
      <x:c r="A50" s="4" t="str">
        <x:v>RF-043</x:v>
      </x:c>
      <x:c r="B50" s="19" t="str">
        <x:v>Pending</x:v>
      </x:c>
      <x:c r="C50" s="4" t="str">
        <x:v>P1</x:v>
      </x:c>
      <x:c r="D50" s="4" t="str">
        <x:v>RamAndFifo</x:v>
      </x:c>
      <x:c r="E50" s="4" t="str">
        <x:v>Wrapper FIFO</x:v>
      </x:c>
      <x:c r="F50" s="4" t="str">
        <x:v>Reset with queued traffic</x:v>
      </x:c>
      <x:c r="G50" s="4" t="str">
        <x:v>clk, rst, wren, rden, din, dout, full, empty</x:v>
      </x:c>
      <x:c r="H50" s="4" t="str">
        <x:v>Prefill, assert rst during traffic, then hold enables low through reset. Discard the software reference queue; release reset and write fresh values.</x:v>
      </x:c>
      <x:c r="I50" s="4" t="str">
        <x:v>Old queued values are discarded logically. The first fresh drain returns only post-reset accepted writes. dout is driven by an always-reading synchronous RAM, so it may change even when rden=0 or empty=1. Do not require output hold or reset-to-zero.</x:v>
      </x:c>
      <x:c r="J50" s="17"/>
      <x:c r="K50" s="24"/>
      <x:c r="L50" s="17"/>
      <x:c r="M50" s="17"/>
      <x:c r="N50" s="4" t="str">
        <x:v>integration/ram_and_fifo/rtl/syncFifo.v</x:v>
      </x:c>
      <x:c r="O50" s="25" t="str">
        <x:v>https://github.com/kapiltrip/RamAndFifo/blob/858ffb35bb31e70051ca25d6cb24e5aa5020bd41/integration/ram_and_fifo/rtl/syncFifo.v</x:v>
      </x:c>
      <x:c r="P50" s="4" t="str">
        <x:f>IF(B50="Done",IF(OR(J50="",K50="",L50=""),"Add run evidence","Recorded"),IF(OR(B50="Blocked",B50="N/A"),IF(M50="","Add reason","Reason recorded"),""))</x:f>
      </x:c>
      <x:c r="Q50" s="4" t="str">
        <x:v>858ffb35bb31e70051ca25d6cb24e5aa5020bd41</x:v>
      </x:c>
    </x:row>
    <x:row r="51" ht="86" customHeight="1">
      <x:c r="A51" s="15" t="str">
        <x:v>RF-044</x:v>
      </x:c>
      <x:c r="B51" s="19" t="str">
        <x:v>Pending</x:v>
      </x:c>
      <x:c r="C51" s="15" t="str">
        <x:v>P2</x:v>
      </x:c>
      <x:c r="D51" s="15" t="str">
        <x:v>RamAndFifo</x:v>
      </x:c>
      <x:c r="E51" s="15" t="str">
        <x:v>Wrapper FIFO</x:v>
      </x:c>
      <x:c r="F51" s="15" t="str">
        <x:v>Random bursts with a reference queue</x:v>
      </x:c>
      <x:c r="G51" s="15" t="str">
        <x:v>clk, rst, wren, rden, din, dout, full, empty</x:v>
      </x:c>
      <x:c r="H51" s="15" t="str">
        <x:v>Run 1000 or more edges for each of three recorded seeds. Bias requests toward empty/full and one-away states. Queue only writes accepted by pre-edge flags and dequeue only accepted reads.</x:v>
      </x:c>
      <x:c r="I51" s="15" t="str">
        <x:v>Every accepted read matches the oldest reference word. End by draining and proving the reference queue empty. Compare dout AFTER the accepted clk edge and nonblocking updates, using the word at the pre-edge read pointer.</x:v>
      </x:c>
      <x:c r="J51" s="17"/>
      <x:c r="K51" s="24"/>
      <x:c r="L51" s="17"/>
      <x:c r="M51" s="17"/>
      <x:c r="N51" s="15" t="str">
        <x:v>integration/ram_and_fifo/rtl/syncFifo.v</x:v>
      </x:c>
      <x:c r="O51" s="26" t="str">
        <x:v>https://github.com/kapiltrip/RamAndFifo/blob/858ffb35bb31e70051ca25d6cb24e5aa5020bd41/integration/ram_and_fifo/rtl/syncFifo.v</x:v>
      </x:c>
      <x:c r="P51" s="15" t="str">
        <x:f>IF(B51="Done",IF(OR(J51="",K51="",L51=""),"Add run evidence","Recorded"),IF(OR(B51="Blocked",B51="N/A"),IF(M51="","Add reason","Reason recorded"),""))</x:f>
      </x:c>
      <x:c r="Q51" s="15" t="str">
        <x:v>858ffb35bb31e70051ca25d6cb24e5aa5020bd41</x:v>
      </x:c>
    </x:row>
    <x:row r="52" ht="86" customHeight="1">
      <x:c r="A52" s="4" t="str">
        <x:v>RF-045</x:v>
      </x:c>
      <x:c r="B52" s="19" t="str">
        <x:v>Pending</x:v>
      </x:c>
      <x:c r="C52" s="4" t="str">
        <x:v>P1</x:v>
      </x:c>
      <x:c r="D52" s="4" t="str">
        <x:v>RamAndFifo</x:v>
      </x:c>
      <x:c r="E52" s="4" t="str">
        <x:v>RAM-backed FIFO</x:v>
      </x:c>
      <x:c r="F52" s="4" t="str">
        <x:v>Reset while write remains asserted</x:v>
      </x:c>
      <x:c r="G52" s="4" t="str">
        <x:v>clk, rst, wr_en, full, do_write, wr_ptr, fifo_count</x:v>
      </x:c>
      <x:c r="H52" s="4" t="str">
        <x:v>Prefill a known slot; assert rst=1 with wr_en=1 and full=0 at a clock edge. Observe ram_inst.mem and control state separately.</x:v>
      </x:c>
      <x:c r="I52" s="4" t="str">
        <x:v>Control pointers/count reset, but do_write is not gated by rst, so RAM can still be written at the old wr_ptr. Decide whether reset must suppress physical writes before adding that requirement.</x:v>
      </x:c>
      <x:c r="J52" s="17"/>
      <x:c r="K52" s="24"/>
      <x:c r="L52" s="17"/>
      <x:c r="M52" s="17" t="str">
        <x:v>Source-review finding; not a simulated failure. No old data is valid after FIFO reset.</x:v>
      </x:c>
      <x:c r="N52" s="4" t="str">
        <x:v>integration/ram_and_fifo/rtl/sync_fifo_ram.v</x:v>
      </x:c>
      <x:c r="O52" s="25" t="str">
        <x:v>https://github.com/kapiltrip/RamAndFifo/blob/858ffb35bb31e70051ca25d6cb24e5aa5020bd41/integration/ram_and_fifo/rtl/sync_fifo_ram.v</x:v>
      </x:c>
      <x:c r="P52" s="4" t="str">
        <x:f>IF(B52="Done",IF(OR(J52="",K52="",L52=""),"Add run evidence","Recorded"),IF(OR(B52="Blocked",B52="N/A"),IF(M52="","Add reason","Reason recorded"),""))</x:f>
      </x:c>
      <x:c r="Q52" s="4" t="str">
        <x:v>858ffb35bb31e70051ca25d6cb24e5aa5020bd41</x:v>
      </x:c>
    </x:row>
    <x:row r="53" ht="86" customHeight="1">
      <x:c r="A53" s="15" t="str">
        <x:v>DP-001</x:v>
      </x:c>
      <x:c r="B53" s="19" t="str">
        <x:v>Pending</x:v>
      </x:c>
      <x:c r="C53" s="21" t="str">
        <x:v>P0</x:v>
      </x:c>
      <x:c r="D53" s="15" t="str">
        <x:v>DesignProject</x:v>
      </x:c>
      <x:c r="E53" s="15" t="str">
        <x:v>RAM</x:v>
      </x:c>
      <x:c r="F53" s="15" t="str">
        <x:v>Registered read timing</x:v>
      </x:c>
      <x:c r="G53" s="15" t="str">
        <x:v>clk, we, waddr, raddr, din, dout</x:v>
      </x:c>
      <x:c r="H53" s="15" t="str">
        <x:v>Write A5 to address 0 on a rising clk. Set we=0 and raddr=0 between edges. Change raddr between later edges.</x:v>
      </x:c>
      <x:c r="I53" s="15" t="str">
        <x:v>dout changes only after a rising clk, after nonblocking updates. It returns the word selected by the pre-edge raddr. Do not expect combinational read-through.</x:v>
      </x:c>
      <x:c r="J53" s="17"/>
      <x:c r="K53" s="24"/>
      <x:c r="L53" s="17"/>
      <x:c r="M53" s="17"/>
      <x:c r="N53" s="15" t="str">
        <x:v>rtl/sync_ram.sv</x:v>
      </x:c>
      <x:c r="O53" s="26" t="str">
        <x:v>https://github.com/kapiltrip/DesignProject/blob/445e9ecfeab646f3c08a43b2e9bdc5fcb89950f4/rtl/sync_ram.sv</x:v>
      </x:c>
      <x:c r="P53" s="15" t="str">
        <x:f>IF(B53="Done",IF(OR(J53="",K53="",L53=""),"Add run evidence","Recorded"),IF(OR(B53="Blocked",B53="N/A"),IF(M53="","Add reason","Reason recorded"),""))</x:f>
      </x:c>
      <x:c r="Q53" s="15" t="str">
        <x:v>445e9ecfeab646f3c08a43b2e9bdc5fcb89950f4</x:v>
      </x:c>
    </x:row>
    <x:row r="54" ht="86" customHeight="1">
      <x:c r="A54" s="4" t="str">
        <x:v>DP-002</x:v>
      </x:c>
      <x:c r="B54" s="19" t="str">
        <x:v>Pending</x:v>
      </x:c>
      <x:c r="C54" s="4" t="str">
        <x:v>P1</x:v>
      </x:c>
      <x:c r="D54" s="4" t="str">
        <x:v>DesignProject</x:v>
      </x:c>
      <x:c r="E54" s="4" t="str">
        <x:v>RAM</x:v>
      </x:c>
      <x:c r="F54" s="4" t="str">
        <x:v>Write enable protects contents</x:v>
      </x:c>
      <x:c r="G54" s="4" t="str">
        <x:v>clk, we, waddr, raddr, din, dout</x:v>
      </x:c>
      <x:c r="H54" s="4" t="str">
        <x:v>Initialize address 0. Hold we=0 while toggling din and waddr; read address 0 again.</x:v>
      </x:c>
      <x:c r="I54" s="4" t="str">
        <x:v>dout returns the initialized word. No location changes while we=0.</x:v>
      </x:c>
      <x:c r="J54" s="17"/>
      <x:c r="K54" s="24"/>
      <x:c r="L54" s="17"/>
      <x:c r="M54" s="17"/>
      <x:c r="N54" s="4" t="str">
        <x:v>rtl/sync_ram.sv</x:v>
      </x:c>
      <x:c r="O54" s="25" t="str">
        <x:v>https://github.com/kapiltrip/DesignProject/blob/445e9ecfeab646f3c08a43b2e9bdc5fcb89950f4/rtl/sync_ram.sv</x:v>
      </x:c>
      <x:c r="P54" s="4" t="str">
        <x:f>IF(B54="Done",IF(OR(J54="",K54="",L54=""),"Add run evidence","Recorded"),IF(OR(B54="Blocked",B54="N/A"),IF(M54="","Add reason","Reason recorded"),""))</x:f>
      </x:c>
      <x:c r="Q54" s="4" t="str">
        <x:v>445e9ecfeab646f3c08a43b2e9bdc5fcb89950f4</x:v>
      </x:c>
    </x:row>
    <x:row r="55" ht="86" customHeight="1">
      <x:c r="A55" s="15" t="str">
        <x:v>DP-003</x:v>
      </x:c>
      <x:c r="B55" s="19" t="str">
        <x:v>Pending</x:v>
      </x:c>
      <x:c r="C55" s="21" t="str">
        <x:v>P0</x:v>
      </x:c>
      <x:c r="D55" s="15" t="str">
        <x:v>DesignProject</x:v>
      </x:c>
      <x:c r="E55" s="15" t="str">
        <x:v>RAM</x:v>
      </x:c>
      <x:c r="F55" s="15" t="str">
        <x:v>All addresses and aliasing</x:v>
      </x:c>
      <x:c r="G55" s="15" t="str">
        <x:v>clk, we, waddr, raddr, din, dout</x:v>
      </x:c>
      <x:c r="H55" s="15" t="str">
        <x:v>Write a distinct address-derived value to every valid waddr; read every raddr in ascending then descending order. Include 0 and DEPTH-1.</x:v>
      </x:c>
      <x:c r="I55" s="15" t="str">
        <x:v>Every address returns its own last written value. An update to one address must not corrupt any other address.</x:v>
      </x:c>
      <x:c r="J55" s="17"/>
      <x:c r="K55" s="24"/>
      <x:c r="L55" s="17"/>
      <x:c r="M55" s="17"/>
      <x:c r="N55" s="15" t="str">
        <x:v>rtl/sync_ram.sv</x:v>
      </x:c>
      <x:c r="O55" s="26" t="str">
        <x:v>https://github.com/kapiltrip/DesignProject/blob/445e9ecfeab646f3c08a43b2e9bdc5fcb89950f4/rtl/sync_ram.sv</x:v>
      </x:c>
      <x:c r="P55" s="15" t="str">
        <x:f>IF(B55="Done",IF(OR(J55="",K55="",L55=""),"Add run evidence","Recorded"),IF(OR(B55="Blocked",B55="N/A"),IF(M55="","Add reason","Reason recorded"),""))</x:f>
      </x:c>
      <x:c r="Q55" s="15" t="str">
        <x:v>445e9ecfeab646f3c08a43b2e9bdc5fcb89950f4</x:v>
      </x:c>
    </x:row>
    <x:row r="56" ht="86" customHeight="1">
      <x:c r="A56" s="4" t="str">
        <x:v>DP-004</x:v>
      </x:c>
      <x:c r="B56" s="19" t="str">
        <x:v>Pending</x:v>
      </x:c>
      <x:c r="C56" s="20" t="str">
        <x:v>P0</x:v>
      </x:c>
      <x:c r="D56" s="4" t="str">
        <x:v>DesignProject</x:v>
      </x:c>
      <x:c r="E56" s="4" t="str">
        <x:v>RAM</x:v>
      </x:c>
      <x:c r="F56" s="4" t="str">
        <x:v>Same-address read/write collision</x:v>
      </x:c>
      <x:c r="G56" s="4" t="str">
        <x:v>clk, we, waddr, raddr, din, dout</x:v>
      </x:c>
      <x:c r="H56" s="4" t="str">
        <x:v>Choose legal address A=min(3,DEPTH-1). Initialize A to hex 55. Set waddr=raddr=A, we=1, din=hex AA at the next active edge. Then disable writes and read A again. Truncate patterns to DW bits.</x:v>
      </x:c>
      <x:c r="I56" s="4" t="str">
        <x:v>On the collision edge dout=hex 55 (old data, truncated to DW). On the following read edge dout=hex AA. This is read-first RTL behavior.</x:v>
      </x:c>
      <x:c r="J56" s="17"/>
      <x:c r="K56" s="24"/>
      <x:c r="L56" s="17"/>
      <x:c r="M56" s="17"/>
      <x:c r="N56" s="4" t="str">
        <x:v>rtl/sync_ram.sv</x:v>
      </x:c>
      <x:c r="O56" s="25" t="str">
        <x:v>https://github.com/kapiltrip/DesignProject/blob/445e9ecfeab646f3c08a43b2e9bdc5fcb89950f4/rtl/sync_ram.sv</x:v>
      </x:c>
      <x:c r="P56" s="4" t="str">
        <x:f>IF(B56="Done",IF(OR(J56="",K56="",L56=""),"Add run evidence","Recorded"),IF(OR(B56="Blocked",B56="N/A"),IF(M56="","Add reason","Reason recorded"),""))</x:f>
      </x:c>
      <x:c r="Q56" s="4" t="str">
        <x:v>445e9ecfeab646f3c08a43b2e9bdc5fcb89950f4</x:v>
      </x:c>
    </x:row>
    <x:row r="57" ht="86" customHeight="1">
      <x:c r="A57" s="15" t="str">
        <x:v>DP-005</x:v>
      </x:c>
      <x:c r="B57" s="19" t="str">
        <x:v>Pending</x:v>
      </x:c>
      <x:c r="C57" s="15" t="str">
        <x:v>P1</x:v>
      </x:c>
      <x:c r="D57" s="15" t="str">
        <x:v>DesignProject</x:v>
      </x:c>
      <x:c r="E57" s="15" t="str">
        <x:v>RAM</x:v>
      </x:c>
      <x:c r="F57" s="15" t="str">
        <x:v>Different-address concurrent access</x:v>
      </x:c>
      <x:c r="G57" s="15" t="str">
        <x:v>clk, we, waddr, raddr, din, dout</x:v>
      </x:c>
      <x:c r="H57" s="15" t="str">
        <x:v>Read an initialized raddr while we=1 writes a different waddr; repeat with both addresses at the range ends.</x:v>
      </x:c>
      <x:c r="I57" s="15" t="str">
        <x:v>The read returns the old contents of raddr; the independent write is visible on a later read of waddr.</x:v>
      </x:c>
      <x:c r="J57" s="17"/>
      <x:c r="K57" s="24"/>
      <x:c r="L57" s="17"/>
      <x:c r="M57" s="17"/>
      <x:c r="N57" s="15" t="str">
        <x:v>rtl/sync_ram.sv</x:v>
      </x:c>
      <x:c r="O57" s="26" t="str">
        <x:v>https://github.com/kapiltrip/DesignProject/blob/445e9ecfeab646f3c08a43b2e9bdc5fcb89950f4/rtl/sync_ram.sv</x:v>
      </x:c>
      <x:c r="P57" s="15" t="str">
        <x:f>IF(B57="Done",IF(OR(J57="",K57="",L57=""),"Add run evidence","Recorded"),IF(OR(B57="Blocked",B57="N/A"),IF(M57="","Add reason","Reason recorded"),""))</x:f>
      </x:c>
      <x:c r="Q57" s="15" t="str">
        <x:v>445e9ecfeab646f3c08a43b2e9bdc5fcb89950f4</x:v>
      </x:c>
    </x:row>
    <x:row r="58" ht="86" customHeight="1">
      <x:c r="A58" s="4" t="str">
        <x:v>DP-006</x:v>
      </x:c>
      <x:c r="B58" s="19" t="str">
        <x:v>Pending</x:v>
      </x:c>
      <x:c r="C58" s="4" t="str">
        <x:v>P1</x:v>
      </x:c>
      <x:c r="D58" s="4" t="str">
        <x:v>DesignProject</x:v>
      </x:c>
      <x:c r="E58" s="4" t="str">
        <x:v>RAM</x:v>
      </x:c>
      <x:c r="F58" s="4" t="str">
        <x:v>Data bit patterns</x:v>
      </x:c>
      <x:c r="G58" s="4" t="str">
        <x:v>clk, we, waddr, raddr, din, dout</x:v>
      </x:c>
      <x:c r="H58" s="4" t="str">
        <x:v>Write/read 00, all ones, alternating 55/AA, walking one and walking zero in each data bit. Fit each pattern to the configured data width.</x:v>
      </x:c>
      <x:c r="I58" s="4" t="str">
        <x:v>Every bit is preserved without truncation, coupling or unwanted sign extension.</x:v>
      </x:c>
      <x:c r="J58" s="17"/>
      <x:c r="K58" s="24"/>
      <x:c r="L58" s="17"/>
      <x:c r="M58" s="17"/>
      <x:c r="N58" s="4" t="str">
        <x:v>rtl/sync_ram.sv</x:v>
      </x:c>
      <x:c r="O58" s="25" t="str">
        <x:v>https://github.com/kapiltrip/DesignProject/blob/445e9ecfeab646f3c08a43b2e9bdc5fcb89950f4/rtl/sync_ram.sv</x:v>
      </x:c>
      <x:c r="P58" s="4" t="str">
        <x:f>IF(B58="Done",IF(OR(J58="",K58="",L58=""),"Add run evidence","Recorded"),IF(OR(B58="Blocked",B58="N/A"),IF(M58="","Add reason","Reason recorded"),""))</x:f>
      </x:c>
      <x:c r="Q58" s="4" t="str">
        <x:v>445e9ecfeab646f3c08a43b2e9bdc5fcb89950f4</x:v>
      </x:c>
    </x:row>
    <x:row r="59" ht="86" customHeight="1">
      <x:c r="A59" s="15" t="str">
        <x:v>DP-007</x:v>
      </x:c>
      <x:c r="B59" s="19" t="str">
        <x:v>Pending</x:v>
      </x:c>
      <x:c r="C59" s="15" t="str">
        <x:v>P1</x:v>
      </x:c>
      <x:c r="D59" s="15" t="str">
        <x:v>DesignProject</x:v>
      </x:c>
      <x:c r="E59" s="15" t="str">
        <x:v>RAM</x:v>
      </x:c>
      <x:c r="F59" s="15" t="str">
        <x:v>Uninitialized read and no reset port</x:v>
      </x:c>
      <x:c r="G59" s="15" t="str">
        <x:v>clk, we, waddr, raddr, din, dout</x:v>
      </x:c>
      <x:c r="H59" s="15" t="str">
        <x:v>Start a fresh simulation and read a location before writing it. Then initialize that location and read it again.</x:v>
      </x:c>
      <x:c r="I59" s="15" t="str">
        <x:v>The first value is unspecified/X in this RTL; it is not a required zero. Only the initialized read has a numeric pass criterion. There is no RAM reset input.</x:v>
      </x:c>
      <x:c r="J59" s="17"/>
      <x:c r="K59" s="24"/>
      <x:c r="L59" s="17"/>
      <x:c r="M59" s="17"/>
      <x:c r="N59" s="15" t="str">
        <x:v>rtl/sync_ram.sv</x:v>
      </x:c>
      <x:c r="O59" s="26" t="str">
        <x:v>https://github.com/kapiltrip/DesignProject/blob/445e9ecfeab646f3c08a43b2e9bdc5fcb89950f4/rtl/sync_ram.sv</x:v>
      </x:c>
      <x:c r="P59" s="15" t="str">
        <x:f>IF(B59="Done",IF(OR(J59="",K59="",L59=""),"Add run evidence","Recorded"),IF(OR(B59="Blocked",B59="N/A"),IF(M59="","Add reason","Reason recorded"),""))</x:f>
      </x:c>
      <x:c r="Q59" s="15" t="str">
        <x:v>445e9ecfeab646f3c08a43b2e9bdc5fcb89950f4</x:v>
      </x:c>
    </x:row>
    <x:row r="60" ht="86" customHeight="1">
      <x:c r="A60" s="4" t="str">
        <x:v>DP-008</x:v>
      </x:c>
      <x:c r="B60" s="19" t="str">
        <x:v>Pending</x:v>
      </x:c>
      <x:c r="C60" s="4" t="str">
        <x:v>P2</x:v>
      </x:c>
      <x:c r="D60" s="4" t="str">
        <x:v>DesignProject</x:v>
      </x:c>
      <x:c r="E60" s="4" t="str">
        <x:v>RAM</x:v>
      </x:c>
      <x:c r="F60" s="4" t="str">
        <x:v>Back-to-back overwrite and parameter corners</x:v>
      </x:c>
      <x:c r="G60" s="4" t="str">
        <x:v>clk, we, waddr, raddr, din, dout</x:v>
      </x:c>
      <x:c r="H60" s="4" t="str">
        <x:v>Overwrite the same address on consecutive clocks and verify the last word. Repeat the suite at DW=1,8,16 and AW=1,2,4, using legal address ranges.</x:v>
      </x:c>
      <x:c r="I60" s="4" t="str">
        <x:v>Last accepted write wins; capacity is 2^AW. Default DW=8, AW=4 means 16 entries. Check parameter names in the source before each build.</x:v>
      </x:c>
      <x:c r="J60" s="17"/>
      <x:c r="K60" s="24"/>
      <x:c r="L60" s="17"/>
      <x:c r="M60" s="17"/>
      <x:c r="N60" s="4" t="str">
        <x:v>rtl/sync_ram.sv</x:v>
      </x:c>
      <x:c r="O60" s="25" t="str">
        <x:v>https://github.com/kapiltrip/DesignProject/blob/445e9ecfeab646f3c08a43b2e9bdc5fcb89950f4/rtl/sync_ram.sv</x:v>
      </x:c>
      <x:c r="P60" s="4" t="str">
        <x:f>IF(B60="Done",IF(OR(J60="",K60="",L60=""),"Add run evidence","Recorded"),IF(OR(B60="Blocked",B60="N/A"),IF(M60="","Add reason","Reason recorded"),""))</x:f>
      </x:c>
      <x:c r="Q60" s="4" t="str">
        <x:v>445e9ecfeab646f3c08a43b2e9bdc5fcb89950f4</x:v>
      </x:c>
    </x:row>
    <x:row r="61" ht="86" customHeight="1">
      <x:c r="A61" s="15" t="str">
        <x:v>DP-009</x:v>
      </x:c>
      <x:c r="B61" s="19" t="str">
        <x:v>Pending</x:v>
      </x:c>
      <x:c r="C61" s="21" t="str">
        <x:v>P0</x:v>
      </x:c>
      <x:c r="D61" s="15" t="str">
        <x:v>DesignProject</x:v>
      </x:c>
      <x:c r="E61" s="15" t="str">
        <x:v>Standalone FIFO</x:v>
      </x:c>
      <x:c r="F61" s="15" t="str">
        <x:v>Reset and first usable cycle</x:v>
      </x:c>
      <x:c r="G61" s="15" t="str">
        <x:v>clk, rst, wr_en, rd_en, wr_data, rd_data, full, empty</x:v>
      </x:c>
      <x:c r="H61" s="15" t="str">
        <x:v>Hold wr_en=rd_en=0. Assert rst=1, clock the design, then release reset away from the active edge.</x:v>
      </x:c>
      <x:c r="I61" s="15" t="str">
        <x:v>After the specified reset event: empty=1 and full=0; pointers/count are reset. rd_data holds the last accepted read while no read is accepted, and resets to zero.</x:v>
      </x:c>
      <x:c r="J61" s="17"/>
      <x:c r="K61" s="24"/>
      <x:c r="L61" s="17"/>
      <x:c r="M61" s="17"/>
      <x:c r="N61" s="15" t="str">
        <x:v>rtl/sync_fifo.sv</x:v>
      </x:c>
      <x:c r="O61" s="26" t="str">
        <x:v>https://github.com/kapiltrip/DesignProject/blob/445e9ecfeab646f3c08a43b2e9bdc5fcb89950f4/rtl/sync_fifo.sv</x:v>
      </x:c>
      <x:c r="P61" s="15" t="str">
        <x:f>IF(B61="Done",IF(OR(J61="",K61="",L61=""),"Add run evidence","Recorded"),IF(OR(B61="Blocked",B61="N/A"),IF(M61="","Add reason","Reason recorded"),""))</x:f>
      </x:c>
      <x:c r="Q61" s="15" t="str">
        <x:v>445e9ecfeab646f3c08a43b2e9bdc5fcb89950f4</x:v>
      </x:c>
    </x:row>
    <x:row r="62" ht="86" customHeight="1">
      <x:c r="A62" s="4" t="str">
        <x:v>DP-010</x:v>
      </x:c>
      <x:c r="B62" s="19" t="str">
        <x:v>Pending</x:v>
      </x:c>
      <x:c r="C62" s="20" t="str">
        <x:v>P0</x:v>
      </x:c>
      <x:c r="D62" s="4" t="str">
        <x:v>DesignProject</x:v>
      </x:c>
      <x:c r="E62" s="4" t="str">
        <x:v>Standalone FIFO</x:v>
      </x:c>
      <x:c r="F62" s="4" t="str">
        <x:v>Single write then single read</x:v>
      </x:c>
      <x:c r="G62" s="4" t="str">
        <x:v>clk, rst, wr_en, rd_en, wr_data, rd_data, full, empty</x:v>
      </x:c>
      <x:c r="H62" s="4" t="str">
        <x:v>Write A5 with wr_en=1 while full=0; disable write; request one read with rd_en=1 while empty=0.</x:v>
      </x:c>
      <x:c r="I62" s="4" t="str">
        <x:v>empty clears after the write and asserts after the read. Compare rd_data AFTER the accepted clk edge and nonblocking updates, using the word at the pre-edge read pointer. Exactly one word is transferred.</x:v>
      </x:c>
      <x:c r="J62" s="17"/>
      <x:c r="K62" s="24"/>
      <x:c r="L62" s="17"/>
      <x:c r="M62" s="17"/>
      <x:c r="N62" s="4" t="str">
        <x:v>rtl/sync_fifo.sv</x:v>
      </x:c>
      <x:c r="O62" s="25" t="str">
        <x:v>https://github.com/kapiltrip/DesignProject/blob/445e9ecfeab646f3c08a43b2e9bdc5fcb89950f4/rtl/sync_fifo.sv</x:v>
      </x:c>
      <x:c r="P62" s="4" t="str">
        <x:f>IF(B62="Done",IF(OR(J62="",K62="",L62=""),"Add run evidence","Recorded"),IF(OR(B62="Blocked",B62="N/A"),IF(M62="","Add reason","Reason recorded"),""))</x:f>
      </x:c>
      <x:c r="Q62" s="4" t="str">
        <x:v>445e9ecfeab646f3c08a43b2e9bdc5fcb89950f4</x:v>
      </x:c>
    </x:row>
    <x:row r="63" ht="86" customHeight="1">
      <x:c r="A63" s="15" t="str">
        <x:v>DP-011</x:v>
      </x:c>
      <x:c r="B63" s="19" t="str">
        <x:v>Pending</x:v>
      </x:c>
      <x:c r="C63" s="21" t="str">
        <x:v>P0</x:v>
      </x:c>
      <x:c r="D63" s="15" t="str">
        <x:v>DesignProject</x:v>
      </x:c>
      <x:c r="E63" s="15" t="str">
        <x:v>Standalone FIFO</x:v>
      </x:c>
      <x:c r="F63" s="15" t="str">
        <x:v>Ordering and mixed data</x:v>
      </x:c>
      <x:c r="G63" s="15" t="str">
        <x:v>clk, rst, wr_en, rd_en, wr_data, rd_data, full, empty</x:v>
      </x:c>
      <x:c r="H63" s="15" t="str">
        <x:v>Write 10,22,35,48 with gaps, then drain using isolated and consecutive rd_en requests.</x:v>
      </x:c>
      <x:c r="I63" s="15" t="str">
        <x:v>Read values are 10,22,35,48 in that order. Compare rd_data AFTER the accepted clk edge and nonblocking updates, using the word at the pre-edge read pointer.</x:v>
      </x:c>
      <x:c r="J63" s="17"/>
      <x:c r="K63" s="24"/>
      <x:c r="L63" s="17"/>
      <x:c r="M63" s="17"/>
      <x:c r="N63" s="15" t="str">
        <x:v>rtl/sync_fifo.sv</x:v>
      </x:c>
      <x:c r="O63" s="26" t="str">
        <x:v>https://github.com/kapiltrip/DesignProject/blob/445e9ecfeab646f3c08a43b2e9bdc5fcb89950f4/rtl/sync_fifo.sv</x:v>
      </x:c>
      <x:c r="P63" s="15" t="str">
        <x:f>IF(B63="Done",IF(OR(J63="",K63="",L63=""),"Add run evidence","Recorded"),IF(OR(B63="Blocked",B63="N/A"),IF(M63="","Add reason","Reason recorded"),""))</x:f>
      </x:c>
      <x:c r="Q63" s="15" t="str">
        <x:v>445e9ecfeab646f3c08a43b2e9bdc5fcb89950f4</x:v>
      </x:c>
    </x:row>
    <x:row r="64" ht="86" customHeight="1">
      <x:c r="A64" s="4" t="str">
        <x:v>DP-012</x:v>
      </x:c>
      <x:c r="B64" s="19" t="str">
        <x:v>Pending</x:v>
      </x:c>
      <x:c r="C64" s="20" t="str">
        <x:v>P0</x:v>
      </x:c>
      <x:c r="D64" s="4" t="str">
        <x:v>DesignProject</x:v>
      </x:c>
      <x:c r="E64" s="4" t="str">
        <x:v>Standalone FIFO</x:v>
      </x:c>
      <x:c r="F64" s="4" t="str">
        <x:v>Fill to capacity and reject overflow</x:v>
      </x:c>
      <x:c r="G64" s="4" t="str">
        <x:v>clk, rst, wr_en, rd_en, wr_data, rd_data, full, empty</x:v>
      </x:c>
      <x:c r="H64" s="4" t="str">
        <x:v>With rd_en=0, issue exactly DEPTH writes (2^AW (default 16)); check one below full and full. Attempt three further writes with distinct data, then drain.</x:v>
      </x:c>
      <x:c r="I64" s="4" t="str">
        <x:v>full asserts only after the last available slot is used. Extra writes cannot move the write pointer or replace queued data. Draining returns the original DEPTH values.</x:v>
      </x:c>
      <x:c r="J64" s="17"/>
      <x:c r="K64" s="24"/>
      <x:c r="L64" s="17"/>
      <x:c r="M64" s="17"/>
      <x:c r="N64" s="4" t="str">
        <x:v>rtl/sync_fifo.sv</x:v>
      </x:c>
      <x:c r="O64" s="25" t="str">
        <x:v>https://github.com/kapiltrip/DesignProject/blob/445e9ecfeab646f3c08a43b2e9bdc5fcb89950f4/rtl/sync_fifo.sv</x:v>
      </x:c>
      <x:c r="P64" s="4" t="str">
        <x:f>IF(B64="Done",IF(OR(J64="",K64="",L64=""),"Add run evidence","Recorded"),IF(OR(B64="Blocked",B64="N/A"),IF(M64="","Add reason","Reason recorded"),""))</x:f>
      </x:c>
      <x:c r="Q64" s="4" t="str">
        <x:v>445e9ecfeab646f3c08a43b2e9bdc5fcb89950f4</x:v>
      </x:c>
    </x:row>
    <x:row r="65" ht="86" customHeight="1">
      <x:c r="A65" s="15" t="str">
        <x:v>DP-013</x:v>
      </x:c>
      <x:c r="B65" s="19" t="str">
        <x:v>Pending</x:v>
      </x:c>
      <x:c r="C65" s="21" t="str">
        <x:v>P0</x:v>
      </x:c>
      <x:c r="D65" s="15" t="str">
        <x:v>DesignProject</x:v>
      </x:c>
      <x:c r="E65" s="15" t="str">
        <x:v>Standalone FIFO</x:v>
      </x:c>
      <x:c r="F65" s="15" t="str">
        <x:v>Drain to empty and reject underflow</x:v>
      </x:c>
      <x:c r="G65" s="15" t="str">
        <x:v>clk, rst, wr_en, rd_en, wr_data, rd_data, full, empty</x:v>
      </x:c>
      <x:c r="H65" s="15" t="str">
        <x:v>Fill and drain exactly DEPTH accepted reads. Keep rd_en=1 for three additional clocks with wr_en=0.</x:v>
      </x:c>
      <x:c r="I65" s="15" t="str">
        <x:v>empty asserts on the last accepted pop; extra reads do not advance the read pointer or change occupancy. rd_data holds the last accepted read while no read is accepted, and resets to zero.</x:v>
      </x:c>
      <x:c r="J65" s="17"/>
      <x:c r="K65" s="24"/>
      <x:c r="L65" s="17"/>
      <x:c r="M65" s="17"/>
      <x:c r="N65" s="15" t="str">
        <x:v>rtl/sync_fifo.sv</x:v>
      </x:c>
      <x:c r="O65" s="26" t="str">
        <x:v>https://github.com/kapiltrip/DesignProject/blob/445e9ecfeab646f3c08a43b2e9bdc5fcb89950f4/rtl/sync_fifo.sv</x:v>
      </x:c>
      <x:c r="P65" s="15" t="str">
        <x:f>IF(B65="Done",IF(OR(J65="",K65="",L65=""),"Add run evidence","Recorded"),IF(OR(B65="Blocked",B65="N/A"),IF(M65="","Add reason","Reason recorded"),""))</x:f>
      </x:c>
      <x:c r="Q65" s="15" t="str">
        <x:v>445e9ecfeab646f3c08a43b2e9bdc5fcb89950f4</x:v>
      </x:c>
    </x:row>
    <x:row r="66" ht="86" customHeight="1">
      <x:c r="A66" s="4" t="str">
        <x:v>DP-014</x:v>
      </x:c>
      <x:c r="B66" s="19" t="str">
        <x:v>Pending</x:v>
      </x:c>
      <x:c r="C66" s="20" t="str">
        <x:v>P0</x:v>
      </x:c>
      <x:c r="D66" s="4" t="str">
        <x:v>DesignProject</x:v>
      </x:c>
      <x:c r="E66" s="4" t="str">
        <x:v>Standalone FIFO</x:v>
      </x:c>
      <x:c r="F66" s="4" t="str">
        <x:v>Both enables in the middle</x:v>
      </x:c>
      <x:c r="G66" s="4" t="str">
        <x:v>clk, rst, wr_en, rd_en, wr_data, rd_data, full, empty</x:v>
      </x:c>
      <x:c r="H66" s="4" t="str">
        <x:v>Prefill to half capacity. Keep wr_en=rd_en=1 for at least 2*DEPTH clocks with a changing wr_data.</x:v>
      </x:c>
      <x:c r="I66" s="4" t="str">
        <x:v>Both operations are accepted on each edge and occupancy stays constant. The stream remains ordered across pointer wraps. Compare rd_data AFTER the accepted clk edge and nonblocking updates, using the word at the pre-edge read pointer.</x:v>
      </x:c>
      <x:c r="J66" s="17"/>
      <x:c r="K66" s="24"/>
      <x:c r="L66" s="17"/>
      <x:c r="M66" s="17"/>
      <x:c r="N66" s="4" t="str">
        <x:v>rtl/sync_fifo.sv</x:v>
      </x:c>
      <x:c r="O66" s="25" t="str">
        <x:v>https://github.com/kapiltrip/DesignProject/blob/445e9ecfeab646f3c08a43b2e9bdc5fcb89950f4/rtl/sync_fifo.sv</x:v>
      </x:c>
      <x:c r="P66" s="4" t="str">
        <x:f>IF(B66="Done",IF(OR(J66="",K66="",L66=""),"Add run evidence","Recorded"),IF(OR(B66="Blocked",B66="N/A"),IF(M66="","Add reason","Reason recorded"),""))</x:f>
      </x:c>
      <x:c r="Q66" s="4" t="str">
        <x:v>445e9ecfeab646f3c08a43b2e9bdc5fcb89950f4</x:v>
      </x:c>
    </x:row>
    <x:row r="67" ht="86" customHeight="1">
      <x:c r="A67" s="15" t="str">
        <x:v>DP-015</x:v>
      </x:c>
      <x:c r="B67" s="19" t="str">
        <x:v>Pending</x:v>
      </x:c>
      <x:c r="C67" s="21" t="str">
        <x:v>P0</x:v>
      </x:c>
      <x:c r="D67" s="15" t="str">
        <x:v>DesignProject</x:v>
      </x:c>
      <x:c r="E67" s="15" t="str">
        <x:v>Standalone FIFO</x:v>
      </x:c>
      <x:c r="F67" s="15" t="str">
        <x:v>Both enables when empty</x:v>
      </x:c>
      <x:c r="G67" s="15" t="str">
        <x:v>clk, rst, wr_en, rd_en, wr_data, rd_data, full, empty</x:v>
      </x:c>
      <x:c r="H67" s="15" t="str">
        <x:v>Reset empty, then assert wr_en=rd_en=1 for one edge with wr_data=3C.</x:v>
      </x:c>
      <x:c r="I67" s="15" t="str">
        <x:v>Only the write is accepted because the pre-edge empty=1. Occupancy becomes one. No same-edge bypass/pop of 3C is allowed.</x:v>
      </x:c>
      <x:c r="J67" s="17"/>
      <x:c r="K67" s="24"/>
      <x:c r="L67" s="17"/>
      <x:c r="M67" s="17"/>
      <x:c r="N67" s="15" t="str">
        <x:v>rtl/sync_fifo.sv</x:v>
      </x:c>
      <x:c r="O67" s="26" t="str">
        <x:v>https://github.com/kapiltrip/DesignProject/blob/445e9ecfeab646f3c08a43b2e9bdc5fcb89950f4/rtl/sync_fifo.sv</x:v>
      </x:c>
      <x:c r="P67" s="15" t="str">
        <x:f>IF(B67="Done",IF(OR(J67="",K67="",L67=""),"Add run evidence","Recorded"),IF(OR(B67="Blocked",B67="N/A"),IF(M67="","Add reason","Reason recorded"),""))</x:f>
      </x:c>
      <x:c r="Q67" s="15" t="str">
        <x:v>445e9ecfeab646f3c08a43b2e9bdc5fcb89950f4</x:v>
      </x:c>
    </x:row>
    <x:row r="68" ht="86" customHeight="1">
      <x:c r="A68" s="4" t="str">
        <x:v>DP-016</x:v>
      </x:c>
      <x:c r="B68" s="19" t="str">
        <x:v>Pending</x:v>
      </x:c>
      <x:c r="C68" s="20" t="str">
        <x:v>P0</x:v>
      </x:c>
      <x:c r="D68" s="4" t="str">
        <x:v>DesignProject</x:v>
      </x:c>
      <x:c r="E68" s="4" t="str">
        <x:v>Standalone FIFO</x:v>
      </x:c>
      <x:c r="F68" s="4" t="str">
        <x:v>Both enables when full</x:v>
      </x:c>
      <x:c r="G68" s="4" t="str">
        <x:v>clk, rst, wr_en, rd_en, wr_data, rd_data, full, empty</x:v>
      </x:c>
      <x:c r="H68" s="4" t="str">
        <x:v>Fill to capacity; assert wr_en=rd_en=1 for one edge with a new wr_data.</x:v>
      </x:c>
      <x:c r="I68" s="4" t="str">
        <x:v>Only the read is accepted because pre-edge full=1; the write is blocked and occupancy becomes DEPTH-1. Resend the new word later if it must be stored.</x:v>
      </x:c>
      <x:c r="J68" s="17"/>
      <x:c r="K68" s="24"/>
      <x:c r="L68" s="17"/>
      <x:c r="M68" s="17"/>
      <x:c r="N68" s="4" t="str">
        <x:v>rtl/sync_fifo.sv</x:v>
      </x:c>
      <x:c r="O68" s="25" t="str">
        <x:v>https://github.com/kapiltrip/DesignProject/blob/445e9ecfeab646f3c08a43b2e9bdc5fcb89950f4/rtl/sync_fifo.sv</x:v>
      </x:c>
      <x:c r="P68" s="4" t="str">
        <x:f>IF(B68="Done",IF(OR(J68="",K68="",L68=""),"Add run evidence","Recorded"),IF(OR(B68="Blocked",B68="N/A"),IF(M68="","Add reason","Reason recorded"),""))</x:f>
      </x:c>
      <x:c r="Q68" s="4" t="str">
        <x:v>445e9ecfeab646f3c08a43b2e9bdc5fcb89950f4</x:v>
      </x:c>
    </x:row>
    <x:row r="69" ht="86" customHeight="1">
      <x:c r="A69" s="15" t="str">
        <x:v>DP-017</x:v>
      </x:c>
      <x:c r="B69" s="19" t="str">
        <x:v>Pending</x:v>
      </x:c>
      <x:c r="C69" s="15" t="str">
        <x:v>P1</x:v>
      </x:c>
      <x:c r="D69" s="15" t="str">
        <x:v>DesignProject</x:v>
      </x:c>
      <x:c r="E69" s="15" t="str">
        <x:v>Standalone FIFO</x:v>
      </x:c>
      <x:c r="F69" s="15" t="str">
        <x:v>Idle and output validity</x:v>
      </x:c>
      <x:c r="G69" s="15" t="str">
        <x:v>clk, rst, wr_en, rd_en, wr_data, rd_data, full, empty</x:v>
      </x:c>
      <x:c r="H69" s="15" t="str">
        <x:v>Pause both enables at empty, one word, half-full and full. Toggle wr_data while idle.</x:v>
      </x:c>
      <x:c r="I69" s="15" t="str">
        <x:v>Pointers/count and flags hold. rd_data holds the last accepted read while no read is accepted, and resets to zero.</x:v>
      </x:c>
      <x:c r="J69" s="17"/>
      <x:c r="K69" s="24"/>
      <x:c r="L69" s="17"/>
      <x:c r="M69" s="17"/>
      <x:c r="N69" s="15" t="str">
        <x:v>rtl/sync_fifo.sv</x:v>
      </x:c>
      <x:c r="O69" s="26" t="str">
        <x:v>https://github.com/kapiltrip/DesignProject/blob/445e9ecfeab646f3c08a43b2e9bdc5fcb89950f4/rtl/sync_fifo.sv</x:v>
      </x:c>
      <x:c r="P69" s="15" t="str">
        <x:f>IF(B69="Done",IF(OR(J69="",K69="",L69=""),"Add run evidence","Recorded"),IF(OR(B69="Blocked",B69="N/A"),IF(M69="","Add reason","Reason recorded"),""))</x:f>
      </x:c>
      <x:c r="Q69" s="15" t="str">
        <x:v>445e9ecfeab646f3c08a43b2e9bdc5fcb89950f4</x:v>
      </x:c>
    </x:row>
    <x:row r="70" ht="86" customHeight="1">
      <x:c r="A70" s="4" t="str">
        <x:v>DP-018</x:v>
      </x:c>
      <x:c r="B70" s="19" t="str">
        <x:v>Pending</x:v>
      </x:c>
      <x:c r="C70" s="4" t="str">
        <x:v>P1</x:v>
      </x:c>
      <x:c r="D70" s="4" t="str">
        <x:v>DesignProject</x:v>
      </x:c>
      <x:c r="E70" s="4" t="str">
        <x:v>Standalone FIFO</x:v>
      </x:c>
      <x:c r="F70" s="4" t="str">
        <x:v>Repeated wraparound</x:v>
      </x:c>
      <x:c r="G70" s="4" t="str">
        <x:v>clk, rst, wr_en, rd_en, wr_data, rd_data, full, empty</x:v>
      </x:c>
      <x:c r="H70" s="4" t="str">
        <x:v>Alternate fill/drain and mixed bursts until each pointer wraps at least four times. Use a sequence number for every accepted write.</x:v>
      </x:c>
      <x:c r="I70" s="4" t="str">
        <x:v>No duplication, loss or reordering. Counts stay between zero and DEPTH; full and empty cannot both be true.</x:v>
      </x:c>
      <x:c r="J70" s="17"/>
      <x:c r="K70" s="24"/>
      <x:c r="L70" s="17"/>
      <x:c r="M70" s="17"/>
      <x:c r="N70" s="4" t="str">
        <x:v>rtl/sync_fifo.sv</x:v>
      </x:c>
      <x:c r="O70" s="25" t="str">
        <x:v>https://github.com/kapiltrip/DesignProject/blob/445e9ecfeab646f3c08a43b2e9bdc5fcb89950f4/rtl/sync_fifo.sv</x:v>
      </x:c>
      <x:c r="P70" s="4" t="str">
        <x:f>IF(B70="Done",IF(OR(J70="",K70="",L70=""),"Add run evidence","Recorded"),IF(OR(B70="Blocked",B70="N/A"),IF(M70="","Add reason","Reason recorded"),""))</x:f>
      </x:c>
      <x:c r="Q70" s="4" t="str">
        <x:v>445e9ecfeab646f3c08a43b2e9bdc5fcb89950f4</x:v>
      </x:c>
    </x:row>
    <x:row r="71" ht="86" customHeight="1">
      <x:c r="A71" s="15" t="str">
        <x:v>DP-019</x:v>
      </x:c>
      <x:c r="B71" s="19" t="str">
        <x:v>Pending</x:v>
      </x:c>
      <x:c r="C71" s="15" t="str">
        <x:v>P1</x:v>
      </x:c>
      <x:c r="D71" s="15" t="str">
        <x:v>DesignProject</x:v>
      </x:c>
      <x:c r="E71" s="15" t="str">
        <x:v>Standalone FIFO</x:v>
      </x:c>
      <x:c r="F71" s="15" t="str">
        <x:v>Reset with queued traffic</x:v>
      </x:c>
      <x:c r="G71" s="15" t="str">
        <x:v>clk, rst, wr_en, rd_en, wr_data, rd_data, full, empty</x:v>
      </x:c>
      <x:c r="H71" s="15" t="str">
        <x:v>Prefill, assert rst during traffic, then hold enables low through reset. Discard the software reference queue; release reset and write fresh values.</x:v>
      </x:c>
      <x:c r="I71" s="15" t="str">
        <x:v>Old queued values are discarded logically. The first fresh drain returns only post-reset accepted writes. rd_data holds the last accepted read while no read is accepted, and resets to zero.</x:v>
      </x:c>
      <x:c r="J71" s="17"/>
      <x:c r="K71" s="24"/>
      <x:c r="L71" s="17"/>
      <x:c r="M71" s="17"/>
      <x:c r="N71" s="15" t="str">
        <x:v>rtl/sync_fifo.sv</x:v>
      </x:c>
      <x:c r="O71" s="26" t="str">
        <x:v>https://github.com/kapiltrip/DesignProject/blob/445e9ecfeab646f3c08a43b2e9bdc5fcb89950f4/rtl/sync_fifo.sv</x:v>
      </x:c>
      <x:c r="P71" s="15" t="str">
        <x:f>IF(B71="Done",IF(OR(J71="",K71="",L71=""),"Add run evidence","Recorded"),IF(OR(B71="Blocked",B71="N/A"),IF(M71="","Add reason","Reason recorded"),""))</x:f>
      </x:c>
      <x:c r="Q71" s="15" t="str">
        <x:v>445e9ecfeab646f3c08a43b2e9bdc5fcb89950f4</x:v>
      </x:c>
    </x:row>
    <x:row r="72" ht="86" customHeight="1">
      <x:c r="A72" s="4" t="str">
        <x:v>DP-020</x:v>
      </x:c>
      <x:c r="B72" s="19" t="str">
        <x:v>Pending</x:v>
      </x:c>
      <x:c r="C72" s="4" t="str">
        <x:v>P2</x:v>
      </x:c>
      <x:c r="D72" s="4" t="str">
        <x:v>DesignProject</x:v>
      </x:c>
      <x:c r="E72" s="4" t="str">
        <x:v>Standalone FIFO</x:v>
      </x:c>
      <x:c r="F72" s="4" t="str">
        <x:v>Random bursts with a reference queue</x:v>
      </x:c>
      <x:c r="G72" s="4" t="str">
        <x:v>clk, rst, wr_en, rd_en, wr_data, rd_data, full, empty</x:v>
      </x:c>
      <x:c r="H72" s="4" t="str">
        <x:v>Run 1000 or more edges for each of three recorded seeds. Bias requests toward empty/full and one-away states. Queue only writes accepted by pre-edge flags and dequeue only accepted reads.</x:v>
      </x:c>
      <x:c r="I72" s="4" t="str">
        <x:v>Every accepted read matches the oldest reference word. End by draining and proving the reference queue empty. Compare rd_data AFTER the accepted clk edge and nonblocking updates, using the word at the pre-edge read pointer.</x:v>
      </x:c>
      <x:c r="J72" s="17"/>
      <x:c r="K72" s="24"/>
      <x:c r="L72" s="17"/>
      <x:c r="M72" s="17"/>
      <x:c r="N72" s="4" t="str">
        <x:v>rtl/sync_fifo.sv</x:v>
      </x:c>
      <x:c r="O72" s="25" t="str">
        <x:v>https://github.com/kapiltrip/DesignProject/blob/445e9ecfeab646f3c08a43b2e9bdc5fcb89950f4/rtl/sync_fifo.sv</x:v>
      </x:c>
      <x:c r="P72" s="4" t="str">
        <x:f>IF(B72="Done",IF(OR(J72="",K72="",L72=""),"Add run evidence","Recorded"),IF(OR(B72="Blocked",B72="N/A"),IF(M72="","Add reason","Reason recorded"),""))</x:f>
      </x:c>
      <x:c r="Q72" s="4" t="str">
        <x:v>445e9ecfeab646f3c08a43b2e9bdc5fcb89950f4</x:v>
      </x:c>
    </x:row>
    <x:row r="73" ht="86" customHeight="1">
      <x:c r="A73" s="15" t="str">
        <x:v>DP-021</x:v>
      </x:c>
      <x:c r="B73" s="19" t="str">
        <x:v>Pending</x:v>
      </x:c>
      <x:c r="C73" s="21" t="str">
        <x:v>P0</x:v>
      </x:c>
      <x:c r="D73" s="15" t="str">
        <x:v>DesignProject</x:v>
      </x:c>
      <x:c r="E73" s="15" t="str">
        <x:v>RAM-backed FIFO</x:v>
      </x:c>
      <x:c r="F73" s="15" t="str">
        <x:v>Reset and first usable cycle</x:v>
      </x:c>
      <x:c r="G73" s="15" t="str">
        <x:v>clk, rst, wr_en, rd_en, wr_data, rd_data, full, empty</x:v>
      </x:c>
      <x:c r="H73" s="15" t="str">
        <x:v>Hold wr_en=rd_en=0. Assert rst=1, clock the design, then release reset away from the active edge.</x:v>
      </x:c>
      <x:c r="I73" s="15" t="str">
        <x:v>After the specified reset event: empty=1 and full=0; pointers/count are reset. rd_data is driven by an always-reading synchronous RAM, so it may change even when rd_en=0 or empty=1. Do not require output hold or reset-to-zero.</x:v>
      </x:c>
      <x:c r="J73" s="17"/>
      <x:c r="K73" s="24"/>
      <x:c r="L73" s="17"/>
      <x:c r="M73" s="17"/>
      <x:c r="N73" s="15" t="str">
        <x:v>rtl/sync_fifo_ram.sv</x:v>
      </x:c>
      <x:c r="O73" s="26" t="str">
        <x:v>https://github.com/kapiltrip/DesignProject/blob/445e9ecfeab646f3c08a43b2e9bdc5fcb89950f4/rtl/sync_fifo_ram.sv</x:v>
      </x:c>
      <x:c r="P73" s="15" t="str">
        <x:f>IF(B73="Done",IF(OR(J73="",K73="",L73=""),"Add run evidence","Recorded"),IF(OR(B73="Blocked",B73="N/A"),IF(M73="","Add reason","Reason recorded"),""))</x:f>
      </x:c>
      <x:c r="Q73" s="15" t="str">
        <x:v>445e9ecfeab646f3c08a43b2e9bdc5fcb89950f4</x:v>
      </x:c>
    </x:row>
    <x:row r="74" ht="86" customHeight="1">
      <x:c r="A74" s="4" t="str">
        <x:v>DP-022</x:v>
      </x:c>
      <x:c r="B74" s="19" t="str">
        <x:v>Pending</x:v>
      </x:c>
      <x:c r="C74" s="20" t="str">
        <x:v>P0</x:v>
      </x:c>
      <x:c r="D74" s="4" t="str">
        <x:v>DesignProject</x:v>
      </x:c>
      <x:c r="E74" s="4" t="str">
        <x:v>RAM-backed FIFO</x:v>
      </x:c>
      <x:c r="F74" s="4" t="str">
        <x:v>Single write then single read</x:v>
      </x:c>
      <x:c r="G74" s="4" t="str">
        <x:v>clk, rst, wr_en, rd_en, wr_data, rd_data, full, empty</x:v>
      </x:c>
      <x:c r="H74" s="4" t="str">
        <x:v>Write A5 with wr_en=1 while full=0; disable write; request one read with rd_en=1 while empty=0.</x:v>
      </x:c>
      <x:c r="I74" s="4" t="str">
        <x:v>empty clears after the write and asserts after the read. Compare rd_data AFTER the accepted clk edge and nonblocking updates, using the word at the pre-edge read pointer. Exactly one word is transferred.</x:v>
      </x:c>
      <x:c r="J74" s="17"/>
      <x:c r="K74" s="24"/>
      <x:c r="L74" s="17"/>
      <x:c r="M74" s="17"/>
      <x:c r="N74" s="4" t="str">
        <x:v>rtl/sync_fifo_ram.sv</x:v>
      </x:c>
      <x:c r="O74" s="25" t="str">
        <x:v>https://github.com/kapiltrip/DesignProject/blob/445e9ecfeab646f3c08a43b2e9bdc5fcb89950f4/rtl/sync_fifo_ram.sv</x:v>
      </x:c>
      <x:c r="P74" s="4" t="str">
        <x:f>IF(B74="Done",IF(OR(J74="",K74="",L74=""),"Add run evidence","Recorded"),IF(OR(B74="Blocked",B74="N/A"),IF(M74="","Add reason","Reason recorded"),""))</x:f>
      </x:c>
      <x:c r="Q74" s="4" t="str">
        <x:v>445e9ecfeab646f3c08a43b2e9bdc5fcb89950f4</x:v>
      </x:c>
    </x:row>
    <x:row r="75" ht="86" customHeight="1">
      <x:c r="A75" s="15" t="str">
        <x:v>DP-023</x:v>
      </x:c>
      <x:c r="B75" s="19" t="str">
        <x:v>Pending</x:v>
      </x:c>
      <x:c r="C75" s="21" t="str">
        <x:v>P0</x:v>
      </x:c>
      <x:c r="D75" s="15" t="str">
        <x:v>DesignProject</x:v>
      </x:c>
      <x:c r="E75" s="15" t="str">
        <x:v>RAM-backed FIFO</x:v>
      </x:c>
      <x:c r="F75" s="15" t="str">
        <x:v>Ordering and mixed data</x:v>
      </x:c>
      <x:c r="G75" s="15" t="str">
        <x:v>clk, rst, wr_en, rd_en, wr_data, rd_data, full, empty</x:v>
      </x:c>
      <x:c r="H75" s="15" t="str">
        <x:v>Write 10,22,35,48 with gaps, then drain using isolated and consecutive rd_en requests.</x:v>
      </x:c>
      <x:c r="I75" s="15" t="str">
        <x:v>Read values are 10,22,35,48 in that order. Compare rd_data AFTER the accepted clk edge and nonblocking updates, using the word at the pre-edge read pointer.</x:v>
      </x:c>
      <x:c r="J75" s="17"/>
      <x:c r="K75" s="24"/>
      <x:c r="L75" s="17"/>
      <x:c r="M75" s="17"/>
      <x:c r="N75" s="15" t="str">
        <x:v>rtl/sync_fifo_ram.sv</x:v>
      </x:c>
      <x:c r="O75" s="26" t="str">
        <x:v>https://github.com/kapiltrip/DesignProject/blob/445e9ecfeab646f3c08a43b2e9bdc5fcb89950f4/rtl/sync_fifo_ram.sv</x:v>
      </x:c>
      <x:c r="P75" s="15" t="str">
        <x:f>IF(B75="Done",IF(OR(J75="",K75="",L75=""),"Add run evidence","Recorded"),IF(OR(B75="Blocked",B75="N/A"),IF(M75="","Add reason","Reason recorded"),""))</x:f>
      </x:c>
      <x:c r="Q75" s="15" t="str">
        <x:v>445e9ecfeab646f3c08a43b2e9bdc5fcb89950f4</x:v>
      </x:c>
    </x:row>
    <x:row r="76" ht="86" customHeight="1">
      <x:c r="A76" s="4" t="str">
        <x:v>DP-024</x:v>
      </x:c>
      <x:c r="B76" s="19" t="str">
        <x:v>Pending</x:v>
      </x:c>
      <x:c r="C76" s="20" t="str">
        <x:v>P0</x:v>
      </x:c>
      <x:c r="D76" s="4" t="str">
        <x:v>DesignProject</x:v>
      </x:c>
      <x:c r="E76" s="4" t="str">
        <x:v>RAM-backed FIFO</x:v>
      </x:c>
      <x:c r="F76" s="4" t="str">
        <x:v>Fill to capacity and reject overflow</x:v>
      </x:c>
      <x:c r="G76" s="4" t="str">
        <x:v>clk, rst, wr_en, rd_en, wr_data, rd_data, full, empty</x:v>
      </x:c>
      <x:c r="H76" s="4" t="str">
        <x:v>With rd_en=0, issue exactly DEPTH writes (2^AW (default 16)); check one below full and full. Attempt three further writes with distinct data, then drain.</x:v>
      </x:c>
      <x:c r="I76" s="4" t="str">
        <x:v>full asserts only after the last available slot is used. Extra writes cannot move the write pointer or replace queued data. Draining returns the original DEPTH values.</x:v>
      </x:c>
      <x:c r="J76" s="17"/>
      <x:c r="K76" s="24"/>
      <x:c r="L76" s="17"/>
      <x:c r="M76" s="17"/>
      <x:c r="N76" s="4" t="str">
        <x:v>rtl/sync_fifo_ram.sv</x:v>
      </x:c>
      <x:c r="O76" s="25" t="str">
        <x:v>https://github.com/kapiltrip/DesignProject/blob/445e9ecfeab646f3c08a43b2e9bdc5fcb89950f4/rtl/sync_fifo_ram.sv</x:v>
      </x:c>
      <x:c r="P76" s="4" t="str">
        <x:f>IF(B76="Done",IF(OR(J76="",K76="",L76=""),"Add run evidence","Recorded"),IF(OR(B76="Blocked",B76="N/A"),IF(M76="","Add reason","Reason recorded"),""))</x:f>
      </x:c>
      <x:c r="Q76" s="4" t="str">
        <x:v>445e9ecfeab646f3c08a43b2e9bdc5fcb89950f4</x:v>
      </x:c>
    </x:row>
    <x:row r="77" ht="86" customHeight="1">
      <x:c r="A77" s="15" t="str">
        <x:v>DP-025</x:v>
      </x:c>
      <x:c r="B77" s="19" t="str">
        <x:v>Pending</x:v>
      </x:c>
      <x:c r="C77" s="21" t="str">
        <x:v>P0</x:v>
      </x:c>
      <x:c r="D77" s="15" t="str">
        <x:v>DesignProject</x:v>
      </x:c>
      <x:c r="E77" s="15" t="str">
        <x:v>RAM-backed FIFO</x:v>
      </x:c>
      <x:c r="F77" s="15" t="str">
        <x:v>Drain to empty and reject underflow</x:v>
      </x:c>
      <x:c r="G77" s="15" t="str">
        <x:v>clk, rst, wr_en, rd_en, wr_data, rd_data, full, empty</x:v>
      </x:c>
      <x:c r="H77" s="15" t="str">
        <x:v>Fill and drain exactly DEPTH accepted reads. Keep rd_en=1 for three additional clocks with wr_en=0.</x:v>
      </x:c>
      <x:c r="I77" s="15" t="str">
        <x:v>empty asserts on the last accepted pop; extra reads do not advance the read pointer or change occupancy. rd_data is driven by an always-reading synchronous RAM, so it may change even when rd_en=0 or empty=1. Do not require output hold or reset-to-zero.</x:v>
      </x:c>
      <x:c r="J77" s="17"/>
      <x:c r="K77" s="24"/>
      <x:c r="L77" s="17"/>
      <x:c r="M77" s="17"/>
      <x:c r="N77" s="15" t="str">
        <x:v>rtl/sync_fifo_ram.sv</x:v>
      </x:c>
      <x:c r="O77" s="26" t="str">
        <x:v>https://github.com/kapiltrip/DesignProject/blob/445e9ecfeab646f3c08a43b2e9bdc5fcb89950f4/rtl/sync_fifo_ram.sv</x:v>
      </x:c>
      <x:c r="P77" s="15" t="str">
        <x:f>IF(B77="Done",IF(OR(J77="",K77="",L77=""),"Add run evidence","Recorded"),IF(OR(B77="Blocked",B77="N/A"),IF(M77="","Add reason","Reason recorded"),""))</x:f>
      </x:c>
      <x:c r="Q77" s="15" t="str">
        <x:v>445e9ecfeab646f3c08a43b2e9bdc5fcb89950f4</x:v>
      </x:c>
    </x:row>
    <x:row r="78" ht="86" customHeight="1">
      <x:c r="A78" s="4" t="str">
        <x:v>DP-026</x:v>
      </x:c>
      <x:c r="B78" s="19" t="str">
        <x:v>Pending</x:v>
      </x:c>
      <x:c r="C78" s="20" t="str">
        <x:v>P0</x:v>
      </x:c>
      <x:c r="D78" s="4" t="str">
        <x:v>DesignProject</x:v>
      </x:c>
      <x:c r="E78" s="4" t="str">
        <x:v>RAM-backed FIFO</x:v>
      </x:c>
      <x:c r="F78" s="4" t="str">
        <x:v>Both enables in the middle</x:v>
      </x:c>
      <x:c r="G78" s="4" t="str">
        <x:v>clk, rst, wr_en, rd_en, wr_data, rd_data, full, empty</x:v>
      </x:c>
      <x:c r="H78" s="4" t="str">
        <x:v>Prefill to half capacity. Keep wr_en=rd_en=1 for at least 2*DEPTH clocks with a changing wr_data.</x:v>
      </x:c>
      <x:c r="I78" s="4" t="str">
        <x:v>Both operations are accepted on each edge and occupancy stays constant. The stream remains ordered across pointer wraps. Compare rd_data AFTER the accepted clk edge and nonblocking updates, using the word at the pre-edge read pointer.</x:v>
      </x:c>
      <x:c r="J78" s="17"/>
      <x:c r="K78" s="24"/>
      <x:c r="L78" s="17"/>
      <x:c r="M78" s="17"/>
      <x:c r="N78" s="4" t="str">
        <x:v>rtl/sync_fifo_ram.sv</x:v>
      </x:c>
      <x:c r="O78" s="25" t="str">
        <x:v>https://github.com/kapiltrip/DesignProject/blob/445e9ecfeab646f3c08a43b2e9bdc5fcb89950f4/rtl/sync_fifo_ram.sv</x:v>
      </x:c>
      <x:c r="P78" s="4" t="str">
        <x:f>IF(B78="Done",IF(OR(J78="",K78="",L78=""),"Add run evidence","Recorded"),IF(OR(B78="Blocked",B78="N/A"),IF(M78="","Add reason","Reason recorded"),""))</x:f>
      </x:c>
      <x:c r="Q78" s="4" t="str">
        <x:v>445e9ecfeab646f3c08a43b2e9bdc5fcb89950f4</x:v>
      </x:c>
    </x:row>
    <x:row r="79" ht="86" customHeight="1">
      <x:c r="A79" s="15" t="str">
        <x:v>DP-027</x:v>
      </x:c>
      <x:c r="B79" s="19" t="str">
        <x:v>Pending</x:v>
      </x:c>
      <x:c r="C79" s="21" t="str">
        <x:v>P0</x:v>
      </x:c>
      <x:c r="D79" s="15" t="str">
        <x:v>DesignProject</x:v>
      </x:c>
      <x:c r="E79" s="15" t="str">
        <x:v>RAM-backed FIFO</x:v>
      </x:c>
      <x:c r="F79" s="15" t="str">
        <x:v>Both enables when empty</x:v>
      </x:c>
      <x:c r="G79" s="15" t="str">
        <x:v>clk, rst, wr_en, rd_en, wr_data, rd_data, full, empty</x:v>
      </x:c>
      <x:c r="H79" s="15" t="str">
        <x:v>Reset empty, then assert wr_en=rd_en=1 for one edge with wr_data=3C.</x:v>
      </x:c>
      <x:c r="I79" s="15" t="str">
        <x:v>Only the write is accepted because the pre-edge empty=1. Occupancy becomes one. No same-edge bypass/pop of 3C is allowed.</x:v>
      </x:c>
      <x:c r="J79" s="17"/>
      <x:c r="K79" s="24"/>
      <x:c r="L79" s="17"/>
      <x:c r="M79" s="17"/>
      <x:c r="N79" s="15" t="str">
        <x:v>rtl/sync_fifo_ram.sv</x:v>
      </x:c>
      <x:c r="O79" s="26" t="str">
        <x:v>https://github.com/kapiltrip/DesignProject/blob/445e9ecfeab646f3c08a43b2e9bdc5fcb89950f4/rtl/sync_fifo_ram.sv</x:v>
      </x:c>
      <x:c r="P79" s="15" t="str">
        <x:f>IF(B79="Done",IF(OR(J79="",K79="",L79=""),"Add run evidence","Recorded"),IF(OR(B79="Blocked",B79="N/A"),IF(M79="","Add reason","Reason recorded"),""))</x:f>
      </x:c>
      <x:c r="Q79" s="15" t="str">
        <x:v>445e9ecfeab646f3c08a43b2e9bdc5fcb89950f4</x:v>
      </x:c>
    </x:row>
    <x:row r="80" ht="86" customHeight="1">
      <x:c r="A80" s="4" t="str">
        <x:v>DP-028</x:v>
      </x:c>
      <x:c r="B80" s="19" t="str">
        <x:v>Pending</x:v>
      </x:c>
      <x:c r="C80" s="20" t="str">
        <x:v>P0</x:v>
      </x:c>
      <x:c r="D80" s="4" t="str">
        <x:v>DesignProject</x:v>
      </x:c>
      <x:c r="E80" s="4" t="str">
        <x:v>RAM-backed FIFO</x:v>
      </x:c>
      <x:c r="F80" s="4" t="str">
        <x:v>Both enables when full</x:v>
      </x:c>
      <x:c r="G80" s="4" t="str">
        <x:v>clk, rst, wr_en, rd_en, wr_data, rd_data, full, empty</x:v>
      </x:c>
      <x:c r="H80" s="4" t="str">
        <x:v>Fill to capacity; assert wr_en=rd_en=1 for one edge with a new wr_data.</x:v>
      </x:c>
      <x:c r="I80" s="4" t="str">
        <x:v>Only the read is accepted because pre-edge full=1; the write is blocked and occupancy becomes DEPTH-1. Resend the new word later if it must be stored.</x:v>
      </x:c>
      <x:c r="J80" s="17"/>
      <x:c r="K80" s="24"/>
      <x:c r="L80" s="17"/>
      <x:c r="M80" s="17"/>
      <x:c r="N80" s="4" t="str">
        <x:v>rtl/sync_fifo_ram.sv</x:v>
      </x:c>
      <x:c r="O80" s="25" t="str">
        <x:v>https://github.com/kapiltrip/DesignProject/blob/445e9ecfeab646f3c08a43b2e9bdc5fcb89950f4/rtl/sync_fifo_ram.sv</x:v>
      </x:c>
      <x:c r="P80" s="4" t="str">
        <x:f>IF(B80="Done",IF(OR(J80="",K80="",L80=""),"Add run evidence","Recorded"),IF(OR(B80="Blocked",B80="N/A"),IF(M80="","Add reason","Reason recorded"),""))</x:f>
      </x:c>
      <x:c r="Q80" s="4" t="str">
        <x:v>445e9ecfeab646f3c08a43b2e9bdc5fcb89950f4</x:v>
      </x:c>
    </x:row>
    <x:row r="81" ht="86" customHeight="1">
      <x:c r="A81" s="15" t="str">
        <x:v>DP-029</x:v>
      </x:c>
      <x:c r="B81" s="19" t="str">
        <x:v>Pending</x:v>
      </x:c>
      <x:c r="C81" s="15" t="str">
        <x:v>P1</x:v>
      </x:c>
      <x:c r="D81" s="15" t="str">
        <x:v>DesignProject</x:v>
      </x:c>
      <x:c r="E81" s="15" t="str">
        <x:v>RAM-backed FIFO</x:v>
      </x:c>
      <x:c r="F81" s="15" t="str">
        <x:v>Idle and output validity</x:v>
      </x:c>
      <x:c r="G81" s="15" t="str">
        <x:v>clk, rst, wr_en, rd_en, wr_data, rd_data, full, empty</x:v>
      </x:c>
      <x:c r="H81" s="15" t="str">
        <x:v>Pause both enables at empty, one word, half-full and full. Toggle wr_data while idle.</x:v>
      </x:c>
      <x:c r="I81" s="15" t="str">
        <x:v>Pointers/count and flags hold. rd_data is driven by an always-reading synchronous RAM, so it may change even when rd_en=0 or empty=1. Do not require output hold or reset-to-zero.</x:v>
      </x:c>
      <x:c r="J81" s="17"/>
      <x:c r="K81" s="24"/>
      <x:c r="L81" s="17"/>
      <x:c r="M81" s="17"/>
      <x:c r="N81" s="15" t="str">
        <x:v>rtl/sync_fifo_ram.sv</x:v>
      </x:c>
      <x:c r="O81" s="26" t="str">
        <x:v>https://github.com/kapiltrip/DesignProject/blob/445e9ecfeab646f3c08a43b2e9bdc5fcb89950f4/rtl/sync_fifo_ram.sv</x:v>
      </x:c>
      <x:c r="P81" s="15" t="str">
        <x:f>IF(B81="Done",IF(OR(J81="",K81="",L81=""),"Add run evidence","Recorded"),IF(OR(B81="Blocked",B81="N/A"),IF(M81="","Add reason","Reason recorded"),""))</x:f>
      </x:c>
      <x:c r="Q81" s="15" t="str">
        <x:v>445e9ecfeab646f3c08a43b2e9bdc5fcb89950f4</x:v>
      </x:c>
    </x:row>
    <x:row r="82" ht="86" customHeight="1">
      <x:c r="A82" s="4" t="str">
        <x:v>DP-030</x:v>
      </x:c>
      <x:c r="B82" s="19" t="str">
        <x:v>Pending</x:v>
      </x:c>
      <x:c r="C82" s="4" t="str">
        <x:v>P1</x:v>
      </x:c>
      <x:c r="D82" s="4" t="str">
        <x:v>DesignProject</x:v>
      </x:c>
      <x:c r="E82" s="4" t="str">
        <x:v>RAM-backed FIFO</x:v>
      </x:c>
      <x:c r="F82" s="4" t="str">
        <x:v>Repeated wraparound</x:v>
      </x:c>
      <x:c r="G82" s="4" t="str">
        <x:v>clk, rst, wr_en, rd_en, wr_data, rd_data, full, empty</x:v>
      </x:c>
      <x:c r="H82" s="4" t="str">
        <x:v>Alternate fill/drain and mixed bursts until each pointer wraps at least four times. Use a sequence number for every accepted write.</x:v>
      </x:c>
      <x:c r="I82" s="4" t="str">
        <x:v>No duplication, loss or reordering. Counts stay between zero and DEPTH; full and empty cannot both be true.</x:v>
      </x:c>
      <x:c r="J82" s="17"/>
      <x:c r="K82" s="24"/>
      <x:c r="L82" s="17"/>
      <x:c r="M82" s="17"/>
      <x:c r="N82" s="4" t="str">
        <x:v>rtl/sync_fifo_ram.sv</x:v>
      </x:c>
      <x:c r="O82" s="25" t="str">
        <x:v>https://github.com/kapiltrip/DesignProject/blob/445e9ecfeab646f3c08a43b2e9bdc5fcb89950f4/rtl/sync_fifo_ram.sv</x:v>
      </x:c>
      <x:c r="P82" s="4" t="str">
        <x:f>IF(B82="Done",IF(OR(J82="",K82="",L82=""),"Add run evidence","Recorded"),IF(OR(B82="Blocked",B82="N/A"),IF(M82="","Add reason","Reason recorded"),""))</x:f>
      </x:c>
      <x:c r="Q82" s="4" t="str">
        <x:v>445e9ecfeab646f3c08a43b2e9bdc5fcb89950f4</x:v>
      </x:c>
    </x:row>
    <x:row r="83" ht="86" customHeight="1">
      <x:c r="A83" s="15" t="str">
        <x:v>DP-031</x:v>
      </x:c>
      <x:c r="B83" s="19" t="str">
        <x:v>Pending</x:v>
      </x:c>
      <x:c r="C83" s="15" t="str">
        <x:v>P1</x:v>
      </x:c>
      <x:c r="D83" s="15" t="str">
        <x:v>DesignProject</x:v>
      </x:c>
      <x:c r="E83" s="15" t="str">
        <x:v>RAM-backed FIFO</x:v>
      </x:c>
      <x:c r="F83" s="15" t="str">
        <x:v>Reset with queued traffic</x:v>
      </x:c>
      <x:c r="G83" s="15" t="str">
        <x:v>clk, rst, wr_en, rd_en, wr_data, rd_data, full, empty</x:v>
      </x:c>
      <x:c r="H83" s="15" t="str">
        <x:v>Prefill, assert rst during traffic, then hold enables low through reset. Discard the software reference queue; release reset and write fresh values.</x:v>
      </x:c>
      <x:c r="I83" s="15" t="str">
        <x:v>Old queued values are discarded logically. The first fresh drain returns only post-reset accepted writes. rd_data is driven by an always-reading synchronous RAM, so it may change even when rd_en=0 or empty=1. Do not require output hold or reset-to-zero.</x:v>
      </x:c>
      <x:c r="J83" s="17"/>
      <x:c r="K83" s="24"/>
      <x:c r="L83" s="17"/>
      <x:c r="M83" s="17"/>
      <x:c r="N83" s="15" t="str">
        <x:v>rtl/sync_fifo_ram.sv</x:v>
      </x:c>
      <x:c r="O83" s="26" t="str">
        <x:v>https://github.com/kapiltrip/DesignProject/blob/445e9ecfeab646f3c08a43b2e9bdc5fcb89950f4/rtl/sync_fifo_ram.sv</x:v>
      </x:c>
      <x:c r="P83" s="15" t="str">
        <x:f>IF(B83="Done",IF(OR(J83="",K83="",L83=""),"Add run evidence","Recorded"),IF(OR(B83="Blocked",B83="N/A"),IF(M83="","Add reason","Reason recorded"),""))</x:f>
      </x:c>
      <x:c r="Q83" s="15" t="str">
        <x:v>445e9ecfeab646f3c08a43b2e9bdc5fcb89950f4</x:v>
      </x:c>
    </x:row>
    <x:row r="84" ht="86" customHeight="1">
      <x:c r="A84" s="4" t="str">
        <x:v>DP-032</x:v>
      </x:c>
      <x:c r="B84" s="19" t="str">
        <x:v>Pending</x:v>
      </x:c>
      <x:c r="C84" s="4" t="str">
        <x:v>P2</x:v>
      </x:c>
      <x:c r="D84" s="4" t="str">
        <x:v>DesignProject</x:v>
      </x:c>
      <x:c r="E84" s="4" t="str">
        <x:v>RAM-backed FIFO</x:v>
      </x:c>
      <x:c r="F84" s="4" t="str">
        <x:v>Random bursts with a reference queue</x:v>
      </x:c>
      <x:c r="G84" s="4" t="str">
        <x:v>clk, rst, wr_en, rd_en, wr_data, rd_data, full, empty</x:v>
      </x:c>
      <x:c r="H84" s="4" t="str">
        <x:v>Run 1000 or more edges for each of three recorded seeds. Bias requests toward empty/full and one-away states. Queue only writes accepted by pre-edge flags and dequeue only accepted reads.</x:v>
      </x:c>
      <x:c r="I84" s="4" t="str">
        <x:v>Every accepted read matches the oldest reference word. End by draining and proving the reference queue empty. Compare rd_data AFTER the accepted clk edge and nonblocking updates, using the word at the pre-edge read pointer.</x:v>
      </x:c>
      <x:c r="J84" s="17"/>
      <x:c r="K84" s="24"/>
      <x:c r="L84" s="17"/>
      <x:c r="M84" s="17"/>
      <x:c r="N84" s="4" t="str">
        <x:v>rtl/sync_fifo_ram.sv</x:v>
      </x:c>
      <x:c r="O84" s="25" t="str">
        <x:v>https://github.com/kapiltrip/DesignProject/blob/445e9ecfeab646f3c08a43b2e9bdc5fcb89950f4/rtl/sync_fifo_ram.sv</x:v>
      </x:c>
      <x:c r="P84" s="4" t="str">
        <x:f>IF(B84="Done",IF(OR(J84="",K84="",L84=""),"Add run evidence","Recorded"),IF(OR(B84="Blocked",B84="N/A"),IF(M84="","Add reason","Reason recorded"),""))</x:f>
      </x:c>
      <x:c r="Q84" s="4" t="str">
        <x:v>445e9ecfeab646f3c08a43b2e9bdc5fcb89950f4</x:v>
      </x:c>
    </x:row>
    <x:row r="85" ht="86" customHeight="1">
      <x:c r="A85" s="15" t="str">
        <x:v>UART-001</x:v>
      </x:c>
      <x:c r="B85" s="19" t="str">
        <x:v>Pending</x:v>
      </x:c>
      <x:c r="C85" s="21" t="str">
        <x:v>P0</x:v>
      </x:c>
      <x:c r="D85" s="15" t="str">
        <x:v>UART-</x:v>
      </x:c>
      <x:c r="E85" s="15" t="str">
        <x:v>UART FIFO</x:v>
      </x:c>
      <x:c r="F85" s="15" t="str">
        <x:v>Reset and first usable cycle</x:v>
      </x:c>
      <x:c r="G85" s="15" t="str">
        <x:v>clk, reset, wr_en, rd_en, wr_data, rd_data, full, empty</x:v>
      </x:c>
      <x:c r="H85" s="15" t="str">
        <x:v>Hold wr_en=rd_en=0. Assert reset=1, clock the design, then release reset away from the active edge.</x:v>
      </x:c>
      <x:c r="I85" s="15" t="str">
        <x:v>After the specified reset event: empty=1 and full=0; pointers/count are reset. rd_data is show-ahead; it can change when the first word is written. It is unspecified while empty.</x:v>
      </x:c>
      <x:c r="J85" s="17"/>
      <x:c r="K85" s="24"/>
      <x:c r="L85" s="17"/>
      <x:c r="M85" s="17"/>
      <x:c r="N85" s="15" t="str">
        <x:v>rtlCode/uart_fifo.v</x:v>
      </x:c>
      <x:c r="O85" s="26" t="str">
        <x:v>https://github.com/kapiltrip/UART-/blob/5f65f99cf43ed317f18874503046f994d5038c65/rtlCode/uart_fifo.v</x:v>
      </x:c>
      <x:c r="P85" s="15" t="str">
        <x:f>IF(B85="Done",IF(OR(J85="",K85="",L85=""),"Add run evidence","Recorded"),IF(OR(B85="Blocked",B85="N/A"),IF(M85="","Add reason","Reason recorded"),""))</x:f>
      </x:c>
      <x:c r="Q85" s="15" t="str">
        <x:v>5f65f99cf43ed317f18874503046f994d5038c65</x:v>
      </x:c>
    </x:row>
    <x:row r="86" ht="86" customHeight="1">
      <x:c r="A86" s="4" t="str">
        <x:v>UART-002</x:v>
      </x:c>
      <x:c r="B86" s="19" t="str">
        <x:v>Pending</x:v>
      </x:c>
      <x:c r="C86" s="20" t="str">
        <x:v>P0</x:v>
      </x:c>
      <x:c r="D86" s="4" t="str">
        <x:v>UART-</x:v>
      </x:c>
      <x:c r="E86" s="4" t="str">
        <x:v>UART FIFO</x:v>
      </x:c>
      <x:c r="F86" s="4" t="str">
        <x:v>Single write then single read</x:v>
      </x:c>
      <x:c r="G86" s="4" t="str">
        <x:v>clk, reset, wr_en, rd_en, wr_data, rd_data, full, empty</x:v>
      </x:c>
      <x:c r="H86" s="4" t="str">
        <x:v>Write A5 with wr_en=1 while full=0; disable write; request one read with rd_en=1 while empty=0.</x:v>
      </x:c>
      <x:c r="I86" s="4" t="str">
        <x:v>empty clears after the write and asserts after the read. Compare rd_data to the expected front BEFORE the pop edge; after the edge it shows the next front when nonempty. Exactly one word is transferred.</x:v>
      </x:c>
      <x:c r="J86" s="17"/>
      <x:c r="K86" s="24"/>
      <x:c r="L86" s="17"/>
      <x:c r="M86" s="17"/>
      <x:c r="N86" s="4" t="str">
        <x:v>rtlCode/uart_fifo.v</x:v>
      </x:c>
      <x:c r="O86" s="25" t="str">
        <x:v>https://github.com/kapiltrip/UART-/blob/5f65f99cf43ed317f18874503046f994d5038c65/rtlCode/uart_fifo.v</x:v>
      </x:c>
      <x:c r="P86" s="4" t="str">
        <x:f>IF(B86="Done",IF(OR(J86="",K86="",L86=""),"Add run evidence","Recorded"),IF(OR(B86="Blocked",B86="N/A"),IF(M86="","Add reason","Reason recorded"),""))</x:f>
      </x:c>
      <x:c r="Q86" s="4" t="str">
        <x:v>5f65f99cf43ed317f18874503046f994d5038c65</x:v>
      </x:c>
    </x:row>
    <x:row r="87" ht="86" customHeight="1">
      <x:c r="A87" s="15" t="str">
        <x:v>UART-003</x:v>
      </x:c>
      <x:c r="B87" s="19" t="str">
        <x:v>Pending</x:v>
      </x:c>
      <x:c r="C87" s="21" t="str">
        <x:v>P0</x:v>
      </x:c>
      <x:c r="D87" s="15" t="str">
        <x:v>UART-</x:v>
      </x:c>
      <x:c r="E87" s="15" t="str">
        <x:v>UART FIFO</x:v>
      </x:c>
      <x:c r="F87" s="15" t="str">
        <x:v>Ordering and mixed data</x:v>
      </x:c>
      <x:c r="G87" s="15" t="str">
        <x:v>clk, reset, wr_en, rd_en, wr_data, rd_data, full, empty</x:v>
      </x:c>
      <x:c r="H87" s="15" t="str">
        <x:v>Write 10,22,35,48 with gaps, then drain using isolated and consecutive rd_en requests.</x:v>
      </x:c>
      <x:c r="I87" s="15" t="str">
        <x:v>Read values are 10,22,35,48 in that order. Compare rd_data to the expected front BEFORE the pop edge; after the edge it shows the next front when nonempty.</x:v>
      </x:c>
      <x:c r="J87" s="17"/>
      <x:c r="K87" s="24"/>
      <x:c r="L87" s="17"/>
      <x:c r="M87" s="17"/>
      <x:c r="N87" s="15" t="str">
        <x:v>rtlCode/uart_fifo.v</x:v>
      </x:c>
      <x:c r="O87" s="26" t="str">
        <x:v>https://github.com/kapiltrip/UART-/blob/5f65f99cf43ed317f18874503046f994d5038c65/rtlCode/uart_fifo.v</x:v>
      </x:c>
      <x:c r="P87" s="15" t="str">
        <x:f>IF(B87="Done",IF(OR(J87="",K87="",L87=""),"Add run evidence","Recorded"),IF(OR(B87="Blocked",B87="N/A"),IF(M87="","Add reason","Reason recorded"),""))</x:f>
      </x:c>
      <x:c r="Q87" s="15" t="str">
        <x:v>5f65f99cf43ed317f18874503046f994d5038c65</x:v>
      </x:c>
    </x:row>
    <x:row r="88" ht="86" customHeight="1">
      <x:c r="A88" s="4" t="str">
        <x:v>UART-004</x:v>
      </x:c>
      <x:c r="B88" s="19" t="str">
        <x:v>Pending</x:v>
      </x:c>
      <x:c r="C88" s="20" t="str">
        <x:v>P0</x:v>
      </x:c>
      <x:c r="D88" s="4" t="str">
        <x:v>UART-</x:v>
      </x:c>
      <x:c r="E88" s="4" t="str">
        <x:v>UART FIFO</x:v>
      </x:c>
      <x:c r="F88" s="4" t="str">
        <x:v>Fill to capacity and reject overflow</x:v>
      </x:c>
      <x:c r="G88" s="4" t="str">
        <x:v>clk, reset, wr_en, rd_en, wr_data, rd_data, full, empty</x:v>
      </x:c>
      <x:c r="H88" s="4" t="str">
        <x:v>With rd_en=0, issue exactly DEPTH writes (16 fixed entries); check one below full and full. Attempt three further writes with distinct data, then drain.</x:v>
      </x:c>
      <x:c r="I88" s="4" t="str">
        <x:v>full asserts only after the last available slot is used. Extra writes cannot move the write pointer or replace queued data. Draining returns the original DEPTH values.</x:v>
      </x:c>
      <x:c r="J88" s="17"/>
      <x:c r="K88" s="24"/>
      <x:c r="L88" s="17"/>
      <x:c r="M88" s="17"/>
      <x:c r="N88" s="4" t="str">
        <x:v>rtlCode/uart_fifo.v</x:v>
      </x:c>
      <x:c r="O88" s="25" t="str">
        <x:v>https://github.com/kapiltrip/UART-/blob/5f65f99cf43ed317f18874503046f994d5038c65/rtlCode/uart_fifo.v</x:v>
      </x:c>
      <x:c r="P88" s="4" t="str">
        <x:f>IF(B88="Done",IF(OR(J88="",K88="",L88=""),"Add run evidence","Recorded"),IF(OR(B88="Blocked",B88="N/A"),IF(M88="","Add reason","Reason recorded"),""))</x:f>
      </x:c>
      <x:c r="Q88" s="4" t="str">
        <x:v>5f65f99cf43ed317f18874503046f994d5038c65</x:v>
      </x:c>
    </x:row>
    <x:row r="89" ht="86" customHeight="1">
      <x:c r="A89" s="15" t="str">
        <x:v>UART-005</x:v>
      </x:c>
      <x:c r="B89" s="19" t="str">
        <x:v>Pending</x:v>
      </x:c>
      <x:c r="C89" s="21" t="str">
        <x:v>P0</x:v>
      </x:c>
      <x:c r="D89" s="15" t="str">
        <x:v>UART-</x:v>
      </x:c>
      <x:c r="E89" s="15" t="str">
        <x:v>UART FIFO</x:v>
      </x:c>
      <x:c r="F89" s="15" t="str">
        <x:v>Drain to empty and reject underflow</x:v>
      </x:c>
      <x:c r="G89" s="15" t="str">
        <x:v>clk, reset, wr_en, rd_en, wr_data, rd_data, full, empty</x:v>
      </x:c>
      <x:c r="H89" s="15" t="str">
        <x:v>Fill and drain exactly DEPTH accepted reads. Keep rd_en=1 for three additional clocks with wr_en=0.</x:v>
      </x:c>
      <x:c r="I89" s="15" t="str">
        <x:v>empty asserts on the last accepted pop; extra reads do not advance the read pointer or change occupancy. rd_data is show-ahead; it can change when the first word is written. It is unspecified while empty.</x:v>
      </x:c>
      <x:c r="J89" s="17"/>
      <x:c r="K89" s="24"/>
      <x:c r="L89" s="17"/>
      <x:c r="M89" s="17"/>
      <x:c r="N89" s="15" t="str">
        <x:v>rtlCode/uart_fifo.v</x:v>
      </x:c>
      <x:c r="O89" s="26" t="str">
        <x:v>https://github.com/kapiltrip/UART-/blob/5f65f99cf43ed317f18874503046f994d5038c65/rtlCode/uart_fifo.v</x:v>
      </x:c>
      <x:c r="P89" s="15" t="str">
        <x:f>IF(B89="Done",IF(OR(J89="",K89="",L89=""),"Add run evidence","Recorded"),IF(OR(B89="Blocked",B89="N/A"),IF(M89="","Add reason","Reason recorded"),""))</x:f>
      </x:c>
      <x:c r="Q89" s="15" t="str">
        <x:v>5f65f99cf43ed317f18874503046f994d5038c65</x:v>
      </x:c>
    </x:row>
    <x:row r="90" ht="86" customHeight="1">
      <x:c r="A90" s="4" t="str">
        <x:v>UART-006</x:v>
      </x:c>
      <x:c r="B90" s="19" t="str">
        <x:v>Pending</x:v>
      </x:c>
      <x:c r="C90" s="20" t="str">
        <x:v>P0</x:v>
      </x:c>
      <x:c r="D90" s="4" t="str">
        <x:v>UART-</x:v>
      </x:c>
      <x:c r="E90" s="4" t="str">
        <x:v>UART FIFO</x:v>
      </x:c>
      <x:c r="F90" s="4" t="str">
        <x:v>Both enables in the middle</x:v>
      </x:c>
      <x:c r="G90" s="4" t="str">
        <x:v>clk, reset, wr_en, rd_en, wr_data, rd_data, full, empty</x:v>
      </x:c>
      <x:c r="H90" s="4" t="str">
        <x:v>Prefill to half capacity. Keep wr_en=rd_en=1 for at least 2*DEPTH clocks with a changing wr_data.</x:v>
      </x:c>
      <x:c r="I90" s="4" t="str">
        <x:v>Both operations are accepted on each edge and occupancy stays constant. The stream remains ordered across pointer wraps. Compare rd_data to the expected front BEFORE the pop edge; after the edge it shows the next front when nonempty.</x:v>
      </x:c>
      <x:c r="J90" s="17"/>
      <x:c r="K90" s="24"/>
      <x:c r="L90" s="17"/>
      <x:c r="M90" s="17"/>
      <x:c r="N90" s="4" t="str">
        <x:v>rtlCode/uart_fifo.v</x:v>
      </x:c>
      <x:c r="O90" s="25" t="str">
        <x:v>https://github.com/kapiltrip/UART-/blob/5f65f99cf43ed317f18874503046f994d5038c65/rtlCode/uart_fifo.v</x:v>
      </x:c>
      <x:c r="P90" s="4" t="str">
        <x:f>IF(B90="Done",IF(OR(J90="",K90="",L90=""),"Add run evidence","Recorded"),IF(OR(B90="Blocked",B90="N/A"),IF(M90="","Add reason","Reason recorded"),""))</x:f>
      </x:c>
      <x:c r="Q90" s="4" t="str">
        <x:v>5f65f99cf43ed317f18874503046f994d5038c65</x:v>
      </x:c>
    </x:row>
    <x:row r="91" ht="86" customHeight="1">
      <x:c r="A91" s="15" t="str">
        <x:v>UART-007</x:v>
      </x:c>
      <x:c r="B91" s="19" t="str">
        <x:v>Pending</x:v>
      </x:c>
      <x:c r="C91" s="21" t="str">
        <x:v>P0</x:v>
      </x:c>
      <x:c r="D91" s="15" t="str">
        <x:v>UART-</x:v>
      </x:c>
      <x:c r="E91" s="15" t="str">
        <x:v>UART FIFO</x:v>
      </x:c>
      <x:c r="F91" s="15" t="str">
        <x:v>Both enables when empty</x:v>
      </x:c>
      <x:c r="G91" s="15" t="str">
        <x:v>clk, reset, wr_en, rd_en, wr_data, rd_data, full, empty</x:v>
      </x:c>
      <x:c r="H91" s="15" t="str">
        <x:v>Reset empty, then assert wr_en=rd_en=1 for one edge with wr_data=3C.</x:v>
      </x:c>
      <x:c r="I91" s="15" t="str">
        <x:v>Only the write is accepted because the pre-edge empty=1. Occupancy becomes one. No same-edge bypass/pop of 3C is allowed.</x:v>
      </x:c>
      <x:c r="J91" s="17"/>
      <x:c r="K91" s="24"/>
      <x:c r="L91" s="17"/>
      <x:c r="M91" s="17"/>
      <x:c r="N91" s="15" t="str">
        <x:v>rtlCode/uart_fifo.v</x:v>
      </x:c>
      <x:c r="O91" s="26" t="str">
        <x:v>https://github.com/kapiltrip/UART-/blob/5f65f99cf43ed317f18874503046f994d5038c65/rtlCode/uart_fifo.v</x:v>
      </x:c>
      <x:c r="P91" s="15" t="str">
        <x:f>IF(B91="Done",IF(OR(J91="",K91="",L91=""),"Add run evidence","Recorded"),IF(OR(B91="Blocked",B91="N/A"),IF(M91="","Add reason","Reason recorded"),""))</x:f>
      </x:c>
      <x:c r="Q91" s="15" t="str">
        <x:v>5f65f99cf43ed317f18874503046f994d5038c65</x:v>
      </x:c>
    </x:row>
    <x:row r="92" ht="86" customHeight="1">
      <x:c r="A92" s="4" t="str">
        <x:v>UART-008</x:v>
      </x:c>
      <x:c r="B92" s="19" t="str">
        <x:v>Pending</x:v>
      </x:c>
      <x:c r="C92" s="20" t="str">
        <x:v>P0</x:v>
      </x:c>
      <x:c r="D92" s="4" t="str">
        <x:v>UART-</x:v>
      </x:c>
      <x:c r="E92" s="4" t="str">
        <x:v>UART FIFO</x:v>
      </x:c>
      <x:c r="F92" s="4" t="str">
        <x:v>Both enables when full</x:v>
      </x:c>
      <x:c r="G92" s="4" t="str">
        <x:v>clk, reset, wr_en, rd_en, wr_data, rd_data, full, empty</x:v>
      </x:c>
      <x:c r="H92" s="4" t="str">
        <x:v>Fill to capacity; assert wr_en=rd_en=1 for one edge with a new wr_data.</x:v>
      </x:c>
      <x:c r="I92" s="4" t="str">
        <x:v>Only the read is accepted because pre-edge full=1; the write is blocked and occupancy becomes DEPTH-1. Resend the new word later if it must be stored.</x:v>
      </x:c>
      <x:c r="J92" s="17"/>
      <x:c r="K92" s="24"/>
      <x:c r="L92" s="17"/>
      <x:c r="M92" s="17"/>
      <x:c r="N92" s="4" t="str">
        <x:v>rtlCode/uart_fifo.v</x:v>
      </x:c>
      <x:c r="O92" s="25" t="str">
        <x:v>https://github.com/kapiltrip/UART-/blob/5f65f99cf43ed317f18874503046f994d5038c65/rtlCode/uart_fifo.v</x:v>
      </x:c>
      <x:c r="P92" s="4" t="str">
        <x:f>IF(B92="Done",IF(OR(J92="",K92="",L92=""),"Add run evidence","Recorded"),IF(OR(B92="Blocked",B92="N/A"),IF(M92="","Add reason","Reason recorded"),""))</x:f>
      </x:c>
      <x:c r="Q92" s="4" t="str">
        <x:v>5f65f99cf43ed317f18874503046f994d5038c65</x:v>
      </x:c>
    </x:row>
    <x:row r="93" ht="86" customHeight="1">
      <x:c r="A93" s="15" t="str">
        <x:v>UART-009</x:v>
      </x:c>
      <x:c r="B93" s="19" t="str">
        <x:v>Pending</x:v>
      </x:c>
      <x:c r="C93" s="15" t="str">
        <x:v>P1</x:v>
      </x:c>
      <x:c r="D93" s="15" t="str">
        <x:v>UART-</x:v>
      </x:c>
      <x:c r="E93" s="15" t="str">
        <x:v>UART FIFO</x:v>
      </x:c>
      <x:c r="F93" s="15" t="str">
        <x:v>Idle and output validity</x:v>
      </x:c>
      <x:c r="G93" s="15" t="str">
        <x:v>clk, reset, wr_en, rd_en, wr_data, rd_data, full, empty</x:v>
      </x:c>
      <x:c r="H93" s="15" t="str">
        <x:v>Pause both enables at empty, one word, half-full and full. Toggle wr_data while idle.</x:v>
      </x:c>
      <x:c r="I93" s="15" t="str">
        <x:v>Pointers/count and flags hold. rd_data is show-ahead; it can change when the first word is written. It is unspecified while empty.</x:v>
      </x:c>
      <x:c r="J93" s="17"/>
      <x:c r="K93" s="24"/>
      <x:c r="L93" s="17"/>
      <x:c r="M93" s="17"/>
      <x:c r="N93" s="15" t="str">
        <x:v>rtlCode/uart_fifo.v</x:v>
      </x:c>
      <x:c r="O93" s="26" t="str">
        <x:v>https://github.com/kapiltrip/UART-/blob/5f65f99cf43ed317f18874503046f994d5038c65/rtlCode/uart_fifo.v</x:v>
      </x:c>
      <x:c r="P93" s="15" t="str">
        <x:f>IF(B93="Done",IF(OR(J93="",K93="",L93=""),"Add run evidence","Recorded"),IF(OR(B93="Blocked",B93="N/A"),IF(M93="","Add reason","Reason recorded"),""))</x:f>
      </x:c>
      <x:c r="Q93" s="15" t="str">
        <x:v>5f65f99cf43ed317f18874503046f994d5038c65</x:v>
      </x:c>
    </x:row>
    <x:row r="94" ht="86" customHeight="1">
      <x:c r="A94" s="4" t="str">
        <x:v>UART-010</x:v>
      </x:c>
      <x:c r="B94" s="19" t="str">
        <x:v>Pending</x:v>
      </x:c>
      <x:c r="C94" s="4" t="str">
        <x:v>P1</x:v>
      </x:c>
      <x:c r="D94" s="4" t="str">
        <x:v>UART-</x:v>
      </x:c>
      <x:c r="E94" s="4" t="str">
        <x:v>UART FIFO</x:v>
      </x:c>
      <x:c r="F94" s="4" t="str">
        <x:v>Repeated wraparound</x:v>
      </x:c>
      <x:c r="G94" s="4" t="str">
        <x:v>clk, reset, wr_en, rd_en, wr_data, rd_data, full, empty</x:v>
      </x:c>
      <x:c r="H94" s="4" t="str">
        <x:v>Alternate fill/drain and mixed bursts until each pointer wraps at least four times. Use a sequence number for every accepted write.</x:v>
      </x:c>
      <x:c r="I94" s="4" t="str">
        <x:v>No duplication, loss or reordering. Counts stay between zero and DEPTH; full and empty cannot both be true.</x:v>
      </x:c>
      <x:c r="J94" s="17"/>
      <x:c r="K94" s="24"/>
      <x:c r="L94" s="17"/>
      <x:c r="M94" s="17"/>
      <x:c r="N94" s="4" t="str">
        <x:v>rtlCode/uart_fifo.v</x:v>
      </x:c>
      <x:c r="O94" s="25" t="str">
        <x:v>https://github.com/kapiltrip/UART-/blob/5f65f99cf43ed317f18874503046f994d5038c65/rtlCode/uart_fifo.v</x:v>
      </x:c>
      <x:c r="P94" s="4" t="str">
        <x:f>IF(B94="Done",IF(OR(J94="",K94="",L94=""),"Add run evidence","Recorded"),IF(OR(B94="Blocked",B94="N/A"),IF(M94="","Add reason","Reason recorded"),""))</x:f>
      </x:c>
      <x:c r="Q94" s="4" t="str">
        <x:v>5f65f99cf43ed317f18874503046f994d5038c65</x:v>
      </x:c>
    </x:row>
    <x:row r="95" ht="86" customHeight="1">
      <x:c r="A95" s="15" t="str">
        <x:v>UART-011</x:v>
      </x:c>
      <x:c r="B95" s="19" t="str">
        <x:v>Pending</x:v>
      </x:c>
      <x:c r="C95" s="15" t="str">
        <x:v>P1</x:v>
      </x:c>
      <x:c r="D95" s="15" t="str">
        <x:v>UART-</x:v>
      </x:c>
      <x:c r="E95" s="15" t="str">
        <x:v>UART FIFO</x:v>
      </x:c>
      <x:c r="F95" s="15" t="str">
        <x:v>Reset with queued traffic</x:v>
      </x:c>
      <x:c r="G95" s="15" t="str">
        <x:v>clk, reset, wr_en, rd_en, wr_data, rd_data, full, empty</x:v>
      </x:c>
      <x:c r="H95" s="15" t="str">
        <x:v>Prefill, assert reset during traffic, then hold enables low through reset. Discard the software reference queue; release reset and write fresh values.</x:v>
      </x:c>
      <x:c r="I95" s="15" t="str">
        <x:v>Old queued values are discarded logically. The first fresh drain returns only post-reset accepted writes. rd_data is show-ahead; it can change when the first word is written. It is unspecified while empty.</x:v>
      </x:c>
      <x:c r="J95" s="17"/>
      <x:c r="K95" s="24"/>
      <x:c r="L95" s="17"/>
      <x:c r="M95" s="17"/>
      <x:c r="N95" s="15" t="str">
        <x:v>rtlCode/uart_fifo.v</x:v>
      </x:c>
      <x:c r="O95" s="26" t="str">
        <x:v>https://github.com/kapiltrip/UART-/blob/5f65f99cf43ed317f18874503046f994d5038c65/rtlCode/uart_fifo.v</x:v>
      </x:c>
      <x:c r="P95" s="15" t="str">
        <x:f>IF(B95="Done",IF(OR(J95="",K95="",L95=""),"Add run evidence","Recorded"),IF(OR(B95="Blocked",B95="N/A"),IF(M95="","Add reason","Reason recorded"),""))</x:f>
      </x:c>
      <x:c r="Q95" s="15" t="str">
        <x:v>5f65f99cf43ed317f18874503046f994d5038c65</x:v>
      </x:c>
    </x:row>
    <x:row r="96" ht="86" customHeight="1">
      <x:c r="A96" s="4" t="str">
        <x:v>UART-012</x:v>
      </x:c>
      <x:c r="B96" s="19" t="str">
        <x:v>Pending</x:v>
      </x:c>
      <x:c r="C96" s="4" t="str">
        <x:v>P2</x:v>
      </x:c>
      <x:c r="D96" s="4" t="str">
        <x:v>UART-</x:v>
      </x:c>
      <x:c r="E96" s="4" t="str">
        <x:v>UART FIFO</x:v>
      </x:c>
      <x:c r="F96" s="4" t="str">
        <x:v>Random bursts with a reference queue</x:v>
      </x:c>
      <x:c r="G96" s="4" t="str">
        <x:v>clk, reset, wr_en, rd_en, wr_data, rd_data, full, empty</x:v>
      </x:c>
      <x:c r="H96" s="4" t="str">
        <x:v>Run 1000 or more edges for each of three recorded seeds. Bias requests toward empty/full and one-away states. Queue only writes accepted by pre-edge flags and dequeue only accepted reads.</x:v>
      </x:c>
      <x:c r="I96" s="4" t="str">
        <x:v>Every accepted read matches the oldest reference word. End by draining and proving the reference queue empty. Compare rd_data to the expected front BEFORE the pop edge; after the edge it shows the next front when nonempty.</x:v>
      </x:c>
      <x:c r="J96" s="17"/>
      <x:c r="K96" s="24"/>
      <x:c r="L96" s="17"/>
      <x:c r="M96" s="17"/>
      <x:c r="N96" s="4" t="str">
        <x:v>rtlCode/uart_fifo.v</x:v>
      </x:c>
      <x:c r="O96" s="25" t="str">
        <x:v>https://github.com/kapiltrip/UART-/blob/5f65f99cf43ed317f18874503046f994d5038c65/rtlCode/uart_fifo.v</x:v>
      </x:c>
      <x:c r="P96" s="4" t="str">
        <x:f>IF(B96="Done",IF(OR(J96="",K96="",L96=""),"Add run evidence","Recorded"),IF(OR(B96="Blocked",B96="N/A"),IF(M96="","Add reason","Reason recorded"),""))</x:f>
      </x:c>
      <x:c r="Q96" s="4" t="str">
        <x:v>5f65f99cf43ed317f18874503046f994d5038c65</x:v>
      </x:c>
    </x:row>
    <x:row r="97" ht="86" customHeight="1">
      <x:c r="A97" s="15" t="str">
        <x:v>AF-001</x:v>
      </x:c>
      <x:c r="B97" s="19" t="str">
        <x:v>Pending</x:v>
      </x:c>
      <x:c r="C97" s="21" t="str">
        <x:v>P0</x:v>
      </x:c>
      <x:c r="D97" s="15" t="str">
        <x:v>AsynchronousFifo</x:v>
      </x:c>
      <x:c r="E97" s="15" t="str">
        <x:v>Asynchronous FIFO</x:v>
      </x:c>
      <x:c r="F97" s="15" t="str">
        <x:v>Coordinated reset and idle</x:v>
      </x:c>
      <x:c r="G97" s="15" t="str">
        <x:v>wr_clk, rd_clk, wr_rst, rd_rst, wr_en, rd_en, din, dout, full, empty</x:v>
      </x:c>
      <x:c r="H97" s="15" t="str">
        <x:v>Run both independent clocks, set wr_en=rd_en=0 and assert wr_rst=rd_rst=1. Release each reset away from its local edge.</x:v>
      </x:c>
      <x:c r="I97" s="15" t="str">
        <x:v>Local pointers reset, full=0, empty=1 and dout=0 after reset settles. No memory clearing is required.</x:v>
      </x:c>
      <x:c r="J97" s="17"/>
      <x:c r="K97" s="24"/>
      <x:c r="L97" s="17"/>
      <x:c r="M97" s="17"/>
      <x:c r="N97" s="15" t="str">
        <x:v>async_fifo.v</x:v>
      </x:c>
      <x:c r="O97" s="26" t="str">
        <x:v>https://github.com/kapiltrip/AsynchronousFifo/blob/a60bcd212928103b2d81d8f2d4eae248ea2e3468/async_fifo.v</x:v>
      </x:c>
      <x:c r="P97" s="15" t="str">
        <x:f>IF(B97="Done",IF(OR(J97="",K97="",L97=""),"Add run evidence","Recorded"),IF(OR(B97="Blocked",B97="N/A"),IF(M97="","Add reason","Reason recorded"),""))</x:f>
      </x:c>
      <x:c r="Q97" s="15" t="str">
        <x:v>a60bcd212928103b2d81d8f2d4eae248ea2e3468</x:v>
      </x:c>
    </x:row>
    <x:row r="98" ht="86" customHeight="1">
      <x:c r="A98" s="4" t="str">
        <x:v>AF-002</x:v>
      </x:c>
      <x:c r="B98" s="19" t="str">
        <x:v>Pending</x:v>
      </x:c>
      <x:c r="C98" s="20" t="str">
        <x:v>P0</x:v>
      </x:c>
      <x:c r="D98" s="4" t="str">
        <x:v>AsynchronousFifo</x:v>
      </x:c>
      <x:c r="E98" s="4" t="str">
        <x:v>Asynchronous FIFO</x:v>
      </x:c>
      <x:c r="F98" s="4" t="str">
        <x:v>First word crosses to read domain</x:v>
      </x:c>
      <x:c r="G98" s="4" t="str">
        <x:v>wr_clk, rd_clk, wr_rst, rd_rst, wr_en, rd_en, din, dout, full, empty</x:v>
      </x:c>
      <x:c r="H98" s="4" t="str">
        <x:v>Write A5 once on wr_clk while full=0; keep rd_en=0 and watch empty on successive rd_clk edges. Then request one accepted read.</x:v>
      </x:c>
      <x:c r="I98" s="4" t="str">
        <x:v>empty deasserts only after synchronized write-pointer visibility. dout=A5 after the accepted rd_clk edge. Flags are registered after the second synchronizer stage; allow the extra flag-register clock.</x:v>
      </x:c>
      <x:c r="J98" s="17"/>
      <x:c r="K98" s="24"/>
      <x:c r="L98" s="17"/>
      <x:c r="M98" s="17"/>
      <x:c r="N98" s="4" t="str">
        <x:v>async_fifo.v</x:v>
      </x:c>
      <x:c r="O98" s="25" t="str">
        <x:v>https://github.com/kapiltrip/AsynchronousFifo/blob/a60bcd212928103b2d81d8f2d4eae248ea2e3468/async_fifo.v</x:v>
      </x:c>
      <x:c r="P98" s="4" t="str">
        <x:f>IF(B98="Done",IF(OR(J98="",K98="",L98=""),"Add run evidence","Recorded"),IF(OR(B98="Blocked",B98="N/A"),IF(M98="","Add reason","Reason recorded"),""))</x:f>
      </x:c>
      <x:c r="Q98" s="4" t="str">
        <x:v>a60bcd212928103b2d81d8f2d4eae248ea2e3468</x:v>
      </x:c>
    </x:row>
    <x:row r="99" ht="86" customHeight="1">
      <x:c r="A99" s="15" t="str">
        <x:v>AF-003</x:v>
      </x:c>
      <x:c r="B99" s="19" t="str">
        <x:v>Pending</x:v>
      </x:c>
      <x:c r="C99" s="21" t="str">
        <x:v>P0</x:v>
      </x:c>
      <x:c r="D99" s="15" t="str">
        <x:v>AsynchronousFifo</x:v>
      </x:c>
      <x:c r="E99" s="15" t="str">
        <x:v>Asynchronous FIFO</x:v>
      </x:c>
      <x:c r="F99" s="15" t="str">
        <x:v>Fill, overflow, drain and underflow</x:v>
      </x:c>
      <x:c r="G99" s="15" t="str">
        <x:v>wr_clk, rd_clk, wr_rst, rd_rst, wr_en, rd_en, din, dout, full, empty</x:v>
      </x:c>
      <x:c r="H99" s="15" t="str">
        <x:v>With reads stopped, write DEPTH words (2^AW (default 8)), attempt extra writes, then drain after empty clears. Attempt extra reads.</x:v>
      </x:c>
      <x:c r="I99" s="15" t="str">
        <x:v>Exactly DEPTH original words return in order. Full writes and empty reads never move local pointers. Final full=0 and empty=1 after clock-domain propagation.</x:v>
      </x:c>
      <x:c r="J99" s="17"/>
      <x:c r="K99" s="24"/>
      <x:c r="L99" s="17"/>
      <x:c r="M99" s="17"/>
      <x:c r="N99" s="15" t="str">
        <x:v>async_fifo.v</x:v>
      </x:c>
      <x:c r="O99" s="26" t="str">
        <x:v>https://github.com/kapiltrip/AsynchronousFifo/blob/a60bcd212928103b2d81d8f2d4eae248ea2e3468/async_fifo.v</x:v>
      </x:c>
      <x:c r="P99" s="15" t="str">
        <x:f>IF(B99="Done",IF(OR(J99="",K99="",L99=""),"Add run evidence","Recorded"),IF(OR(B99="Blocked",B99="N/A"),IF(M99="","Add reason","Reason recorded"),""))</x:f>
      </x:c>
      <x:c r="Q99" s="15" t="str">
        <x:v>a60bcd212928103b2d81d8f2d4eae248ea2e3468</x:v>
      </x:c>
    </x:row>
    <x:row r="100" ht="86" customHeight="1">
      <x:c r="A100" s="4" t="str">
        <x:v>AF-004</x:v>
      </x:c>
      <x:c r="B100" s="19" t="str">
        <x:v>Pending</x:v>
      </x:c>
      <x:c r="C100" s="4" t="str">
        <x:v>P1</x:v>
      </x:c>
      <x:c r="D100" s="4" t="str">
        <x:v>AsynchronousFifo</x:v>
      </x:c>
      <x:c r="E100" s="4" t="str">
        <x:v>Asynchronous FIFO</x:v>
      </x:c>
      <x:c r="F100" s="4" t="str">
        <x:v>Fast writer and slow reader</x:v>
      </x:c>
      <x:c r="G100" s="4" t="str">
        <x:v>wr_clk, rd_clk, wr_rst, rd_rst, wr_en, rd_en, din, dout, full, empty</x:v>
      </x:c>
      <x:c r="H100" s="4" t="str">
        <x:v>Use write/read periods 10 ns/31 ns, unrelated initial phases, and bursts long enough to reach full.</x:v>
      </x:c>
      <x:c r="I100" s="4" t="str">
        <x:v>Only locally accepted operations enter the reference queue; no loss/reordering. full may conservatively remain high while a read propagates.</x:v>
      </x:c>
      <x:c r="J100" s="17"/>
      <x:c r="K100" s="24"/>
      <x:c r="L100" s="17"/>
      <x:c r="M100" s="17"/>
      <x:c r="N100" s="4" t="str">
        <x:v>async_fifo.v</x:v>
      </x:c>
      <x:c r="O100" s="25" t="str">
        <x:v>https://github.com/kapiltrip/AsynchronousFifo/blob/a60bcd212928103b2d81d8f2d4eae248ea2e3468/async_fifo.v</x:v>
      </x:c>
      <x:c r="P100" s="4" t="str">
        <x:f>IF(B100="Done",IF(OR(J100="",K100="",L100=""),"Add run evidence","Recorded"),IF(OR(B100="Blocked",B100="N/A"),IF(M100="","Add reason","Reason recorded"),""))</x:f>
      </x:c>
      <x:c r="Q100" s="4" t="str">
        <x:v>a60bcd212928103b2d81d8f2d4eae248ea2e3468</x:v>
      </x:c>
    </x:row>
    <x:row r="101" ht="86" customHeight="1">
      <x:c r="A101" s="15" t="str">
        <x:v>AF-005</x:v>
      </x:c>
      <x:c r="B101" s="19" t="str">
        <x:v>Pending</x:v>
      </x:c>
      <x:c r="C101" s="15" t="str">
        <x:v>P1</x:v>
      </x:c>
      <x:c r="D101" s="15" t="str">
        <x:v>AsynchronousFifo</x:v>
      </x:c>
      <x:c r="E101" s="15" t="str">
        <x:v>Asynchronous FIFO</x:v>
      </x:c>
      <x:c r="F101" s="15" t="str">
        <x:v>Slow writer and fast reader</x:v>
      </x:c>
      <x:c r="G101" s="15" t="str">
        <x:v>wr_clk, rd_clk, wr_rst, rd_rst, wr_en, rd_en, din, dout, full, empty</x:v>
      </x:c>
      <x:c r="H101" s="15" t="str">
        <x:v>Use write/read periods 29 ns/8 ns, then reverse the rates; repeatedly touch empty.</x:v>
      </x:c>
      <x:c r="I101" s="15" t="str">
        <x:v>No stale/unwritten word is consumed. empty can remain high while a remote write propagates.</x:v>
      </x:c>
      <x:c r="J101" s="17"/>
      <x:c r="K101" s="24"/>
      <x:c r="L101" s="17"/>
      <x:c r="M101" s="17"/>
      <x:c r="N101" s="15" t="str">
        <x:v>async_fifo.v</x:v>
      </x:c>
      <x:c r="O101" s="26" t="str">
        <x:v>https://github.com/kapiltrip/AsynchronousFifo/blob/a60bcd212928103b2d81d8f2d4eae248ea2e3468/async_fifo.v</x:v>
      </x:c>
      <x:c r="P101" s="15" t="str">
        <x:f>IF(B101="Done",IF(OR(J101="",K101="",L101=""),"Add run evidence","Recorded"),IF(OR(B101="Blocked",B101="N/A"),IF(M101="","Add reason","Reason recorded"),""))</x:f>
      </x:c>
      <x:c r="Q101" s="15" t="str">
        <x:v>a60bcd212928103b2d81d8f2d4eae248ea2e3468</x:v>
      </x:c>
    </x:row>
    <x:row r="102" ht="86" customHeight="1">
      <x:c r="A102" s="4" t="str">
        <x:v>AF-006</x:v>
      </x:c>
      <x:c r="B102" s="19" t="str">
        <x:v>Pending</x:v>
      </x:c>
      <x:c r="C102" s="4" t="str">
        <x:v>P1</x:v>
      </x:c>
      <x:c r="D102" s="4" t="str">
        <x:v>AsynchronousFifo</x:v>
      </x:c>
      <x:c r="E102" s="4" t="str">
        <x:v>Asynchronous FIFO</x:v>
      </x:c>
      <x:c r="F102" s="4" t="str">
        <x:v>Equal rates with phase shifts</x:v>
      </x:c>
      <x:c r="G102" s="4" t="str">
        <x:v>wr_clk, rd_clk, wr_rst, rd_rst, wr_en, rd_en, din, dout, full, empty</x:v>
      </x:c>
      <x:c r="H102" s="4" t="str">
        <x:v>Use 10 ns/10 ns clocks with offsets 0,2,5 ns. Include coincident edges and continuous traffic at half occupancy.</x:v>
      </x:c>
      <x:c r="I102" s="4" t="str">
        <x:v>Ordered data with race-free stimulus. Determine each operation from its own pre-edge full/empty; do not order coincident events by testbench process scheduling.</x:v>
      </x:c>
      <x:c r="J102" s="17"/>
      <x:c r="K102" s="24"/>
      <x:c r="L102" s="17"/>
      <x:c r="M102" s="17"/>
      <x:c r="N102" s="4" t="str">
        <x:v>async_fifo.v</x:v>
      </x:c>
      <x:c r="O102" s="25" t="str">
        <x:v>https://github.com/kapiltrip/AsynchronousFifo/blob/a60bcd212928103b2d81d8f2d4eae248ea2e3468/async_fifo.v</x:v>
      </x:c>
      <x:c r="P102" s="4" t="str">
        <x:f>IF(B102="Done",IF(OR(J102="",K102="",L102=""),"Add run evidence","Recorded"),IF(OR(B102="Blocked",B102="N/A"),IF(M102="","Add reason","Reason recorded"),""))</x:f>
      </x:c>
      <x:c r="Q102" s="4" t="str">
        <x:v>a60bcd212928103b2d81d8f2d4eae248ea2e3468</x:v>
      </x:c>
    </x:row>
    <x:row r="103" ht="86" customHeight="1">
      <x:c r="A103" s="15" t="str">
        <x:v>AF-007</x:v>
      </x:c>
      <x:c r="B103" s="19" t="str">
        <x:v>Pending</x:v>
      </x:c>
      <x:c r="C103" s="21" t="str">
        <x:v>P0</x:v>
      </x:c>
      <x:c r="D103" s="15" t="str">
        <x:v>AsynchronousFifo</x:v>
      </x:c>
      <x:c r="E103" s="15" t="str">
        <x:v>Asynchronous FIFO</x:v>
      </x:c>
      <x:c r="F103" s="15" t="str">
        <x:v>Gray pointers and blocked requests</x:v>
      </x:c>
      <x:c r="G103" s="15" t="str">
        <x:v>wr_clk, rd_clk, wr_rst, rd_rst, wr_en, rd_en, din, dout, full, empty</x:v>
      </x:c>
      <x:c r="H103" s="15" t="str">
        <x:v>Observe local binary/Gray pointer pairs through wrap. Hold wr_en=1 at full and rd_en=1 at empty.</x:v>
      </x:c>
      <x:c r="I103" s="15" t="str">
        <x:v>Local pointer increments only on accepted operations; Gray equals binary XOR (binary shifted right one). Successive LOCAL Gray values differ in one bit, or zero when holding. Destination samples may skip states and differ in multiple bits.</x:v>
      </x:c>
      <x:c r="J103" s="17"/>
      <x:c r="K103" s="24"/>
      <x:c r="L103" s="17"/>
      <x:c r="M103" s="17"/>
      <x:c r="N103" s="15" t="str">
        <x:v>async_fifo.v</x:v>
      </x:c>
      <x:c r="O103" s="26" t="str">
        <x:v>https://github.com/kapiltrip/AsynchronousFifo/blob/a60bcd212928103b2d81d8f2d4eae248ea2e3468/async_fifo.v</x:v>
      </x:c>
      <x:c r="P103" s="15" t="str">
        <x:f>IF(B103="Done",IF(OR(J103="",K103="",L103=""),"Add run evidence","Recorded"),IF(OR(B103="Blocked",B103="N/A"),IF(M103="","Add reason","Reason recorded"),""))</x:f>
      </x:c>
      <x:c r="Q103" s="15" t="str">
        <x:v>a60bcd212928103b2d81d8f2d4eae248ea2e3468</x:v>
      </x:c>
    </x:row>
    <x:row r="104" ht="86" customHeight="1">
      <x:c r="A104" s="4" t="str">
        <x:v>AF-008</x:v>
      </x:c>
      <x:c r="B104" s="19" t="str">
        <x:v>Pending</x:v>
      </x:c>
      <x:c r="C104" s="20" t="str">
        <x:v>P0</x:v>
      </x:c>
      <x:c r="D104" s="4" t="str">
        <x:v>AsynchronousFifo</x:v>
      </x:c>
      <x:c r="E104" s="4" t="str">
        <x:v>Asynchronous FIFO</x:v>
      </x:c>
      <x:c r="F104" s="4" t="str">
        <x:v>Synchronizer direction and flag latency</x:v>
      </x:c>
      <x:c r="G104" s="4" t="str">
        <x:v>wr_clk, rd_clk, wr_rst, rd_rst, wr_en, rd_en, din, dout, full, empty</x:v>
      </x:c>
      <x:c r="H104" s="4" t="str">
        <x:v>Apply one remote pointer change while the destination clock runs; trace first and second synchronization stages on each destination edge.</x:v>
      </x:c>
      <x:c r="I104" s="4" t="str">
        <x:v>Stage 1 samples the remote pointer; stage 2 samples previous stage 1. Flags must use stage 2. Flags are registered after the second synchronizer stage; allow the extra flag-register clock.</x:v>
      </x:c>
      <x:c r="J104" s="17"/>
      <x:c r="K104" s="24"/>
      <x:c r="L104" s="17"/>
      <x:c r="M104" s="17"/>
      <x:c r="N104" s="4" t="str">
        <x:v>async_fifo.v</x:v>
      </x:c>
      <x:c r="O104" s="25" t="str">
        <x:v>https://github.com/kapiltrip/AsynchronousFifo/blob/a60bcd212928103b2d81d8f2d4eae248ea2e3468/async_fifo.v</x:v>
      </x:c>
      <x:c r="P104" s="4" t="str">
        <x:f>IF(B104="Done",IF(OR(J104="",K104="",L104=""),"Add run evidence","Recorded"),IF(OR(B104="Blocked",B104="N/A"),IF(M104="","Add reason","Reason recorded"),""))</x:f>
      </x:c>
      <x:c r="Q104" s="4" t="str">
        <x:v>a60bcd212928103b2d81d8f2d4eae248ea2e3468</x:v>
      </x:c>
    </x:row>
    <x:row r="105" ht="86" customHeight="1">
      <x:c r="A105" s="15" t="str">
        <x:v>AF-009</x:v>
      </x:c>
      <x:c r="B105" s="19" t="str">
        <x:v>Pending</x:v>
      </x:c>
      <x:c r="C105" s="15" t="str">
        <x:v>P1</x:v>
      </x:c>
      <x:c r="D105" s="15" t="str">
        <x:v>AsynchronousFifo</x:v>
      </x:c>
      <x:c r="E105" s="15" t="str">
        <x:v>Asynchronous FIFO</x:v>
      </x:c>
      <x:c r="F105" s="15" t="str">
        <x:v>Clock stop and restart</x:v>
      </x:c>
      <x:c r="G105" s="15" t="str">
        <x:v>wr_clk, rd_clk, wr_rst, rd_rst, wr_en, rd_en, din, dout, full, empty</x:v>
      </x:c>
      <x:c r="H105" s="15" t="str">
        <x:v>Pause rd_clk while writing to full, then resume it; repeat by pausing wr_clk during reads.</x:v>
      </x:c>
      <x:c r="I105" s="15" t="str">
        <x:v>No operation occurs without its local clock; flags converge after the stopped clock resumes. Scoreboard order survives the pause.</x:v>
      </x:c>
      <x:c r="J105" s="17"/>
      <x:c r="K105" s="24"/>
      <x:c r="L105" s="17"/>
      <x:c r="M105" s="17"/>
      <x:c r="N105" s="15" t="str">
        <x:v>async_fifo.v</x:v>
      </x:c>
      <x:c r="O105" s="26" t="str">
        <x:v>https://github.com/kapiltrip/AsynchronousFifo/blob/a60bcd212928103b2d81d8f2d4eae248ea2e3468/async_fifo.v</x:v>
      </x:c>
      <x:c r="P105" s="15" t="str">
        <x:f>IF(B105="Done",IF(OR(J105="",K105="",L105=""),"Add run evidence","Recorded"),IF(OR(B105="Blocked",B105="N/A"),IF(M105="","Add reason","Reason recorded"),""))</x:f>
      </x:c>
      <x:c r="Q105" s="15" t="str">
        <x:v>a60bcd212928103b2d81d8f2d4eae248ea2e3468</x:v>
      </x:c>
    </x:row>
    <x:row r="106" ht="86" customHeight="1">
      <x:c r="A106" s="4" t="str">
        <x:v>AF-010</x:v>
      </x:c>
      <x:c r="B106" s="19" t="str">
        <x:v>Pending</x:v>
      </x:c>
      <x:c r="C106" s="4" t="str">
        <x:v>P2</x:v>
      </x:c>
      <x:c r="D106" s="4" t="str">
        <x:v>AsynchronousFifo</x:v>
      </x:c>
      <x:c r="E106" s="4" t="str">
        <x:v>Asynchronous FIFO</x:v>
      </x:c>
      <x:c r="F106" s="4" t="str">
        <x:v>Many laps and random bursts</x:v>
      </x:c>
      <x:c r="G106" s="4" t="str">
        <x:v>wr_clk, rd_clk, wr_rst, rd_rst, wr_en, rd_en, din, dout, full, empty</x:v>
      </x:c>
      <x:c r="H106" s="4" t="str">
        <x:v>Run at least four complete pointer laps for three recorded seeds and clock ratios. Compare every accepted read with a software reference queue.</x:v>
      </x:c>
      <x:c r="I106" s="4" t="str">
        <x:v>No duplicates, drops or ordering errors. End with both clocks running and fully drain the reference queue.</x:v>
      </x:c>
      <x:c r="J106" s="17"/>
      <x:c r="K106" s="24"/>
      <x:c r="L106" s="17"/>
      <x:c r="M106" s="17"/>
      <x:c r="N106" s="4" t="str">
        <x:v>async_fifo.v</x:v>
      </x:c>
      <x:c r="O106" s="25" t="str">
        <x:v>https://github.com/kapiltrip/AsynchronousFifo/blob/a60bcd212928103b2d81d8f2d4eae248ea2e3468/async_fifo.v</x:v>
      </x:c>
      <x:c r="P106" s="4" t="str">
        <x:f>IF(B106="Done",IF(OR(J106="",K106="",L106=""),"Add run evidence","Recorded"),IF(OR(B106="Blocked",B106="N/A"),IF(M106="","Add reason","Reason recorded"),""))</x:f>
      </x:c>
      <x:c r="Q106" s="4" t="str">
        <x:v>a60bcd212928103b2d81d8f2d4eae248ea2e3468</x:v>
      </x:c>
    </x:row>
    <x:row r="107" ht="86" customHeight="1">
      <x:c r="A107" s="15" t="str">
        <x:v>AF-011</x:v>
      </x:c>
      <x:c r="B107" s="19" t="str">
        <x:v>Pending</x:v>
      </x:c>
      <x:c r="C107" s="15" t="str">
        <x:v>P1</x:v>
      </x:c>
      <x:c r="D107" s="15" t="str">
        <x:v>AsynchronousFifo</x:v>
      </x:c>
      <x:c r="E107" s="15" t="str">
        <x:v>Asynchronous FIFO</x:v>
      </x:c>
      <x:c r="F107" s="15" t="str">
        <x:v>Both resets during traffic</x:v>
      </x:c>
      <x:c r="G107" s="15" t="str">
        <x:v>wr_clk, rd_clk, wr_rst, rd_rst, wr_en, rd_en, din, dout, full, empty</x:v>
      </x:c>
      <x:c r="H107" s="15" t="str">
        <x:v>Prefill, assert both resets during a burst, flush the expected queue, restart clocks and send a fresh known sequence.</x:v>
      </x:c>
      <x:c r="I107" s="15" t="str">
        <x:v>Reset discards previous queued data; only new writes are considered valid. No assumptions about clearing memory cells.</x:v>
      </x:c>
      <x:c r="J107" s="17"/>
      <x:c r="K107" s="24"/>
      <x:c r="L107" s="17"/>
      <x:c r="M107" s="17"/>
      <x:c r="N107" s="15" t="str">
        <x:v>async_fifo.v</x:v>
      </x:c>
      <x:c r="O107" s="26" t="str">
        <x:v>https://github.com/kapiltrip/AsynchronousFifo/blob/a60bcd212928103b2d81d8f2d4eae248ea2e3468/async_fifo.v</x:v>
      </x:c>
      <x:c r="P107" s="15" t="str">
        <x:f>IF(B107="Done",IF(OR(J107="",K107="",L107=""),"Add run evidence","Recorded"),IF(OR(B107="Blocked",B107="N/A"),IF(M107="","Add reason","Reason recorded"),""))</x:f>
      </x:c>
      <x:c r="Q107" s="15" t="str">
        <x:v>a60bcd212928103b2d81d8f2d4eae248ea2e3468</x:v>
      </x:c>
    </x:row>
    <x:row r="108" ht="86" customHeight="1">
      <x:c r="A108" s="4" t="str">
        <x:v>AF-012</x:v>
      </x:c>
      <x:c r="B108" s="23" t="str">
        <x:v>Blocked</x:v>
      </x:c>
      <x:c r="C108" s="4" t="str">
        <x:v>P1</x:v>
      </x:c>
      <x:c r="D108" s="4" t="str">
        <x:v>AsynchronousFifo</x:v>
      </x:c>
      <x:c r="E108" s="4" t="str">
        <x:v>Asynchronous FIFO</x:v>
      </x:c>
      <x:c r="F108" s="4" t="str">
        <x:v>One-sided reset contract</x:v>
      </x:c>
      <x:c r="G108" s="4" t="str">
        <x:v>wr_clk, rd_clk, wr_rst, rd_rst, wr_en, rd_en, din, dout, full, empty</x:v>
      </x:c>
      <x:c r="H108" s="4" t="str">
        <x:v>Consider asserting only wr_rst, then only rd_rst, while data is pending. Define whether the whole FIFO is flushed or one domain may continue before executing.</x:v>
      </x:c>
      <x:c r="I108" s="4" t="str">
        <x:v>Pass criteria require an agreed system reset policy. Current independent pointer resets do not guarantee preservation of unread data after a one-sided reset.</x:v>
      </x:c>
      <x:c r="J108" s="17"/>
      <x:c r="K108" s="24"/>
      <x:c r="L108" s="17"/>
      <x:c r="M108" s="17" t="str">
        <x:v>Resolve reset policy first; never mark data preservation proven by ordinary RTL simulation.</x:v>
      </x:c>
      <x:c r="N108" s="4" t="str">
        <x:v>async_fifo.v</x:v>
      </x:c>
      <x:c r="O108" s="25" t="str">
        <x:v>https://github.com/kapiltrip/AsynchronousFifo/blob/a60bcd212928103b2d81d8f2d4eae248ea2e3468/async_fifo.v</x:v>
      </x:c>
      <x:c r="P108" s="4" t="str">
        <x:f>IF(B108="Done",IF(OR(J108="",K108="",L108=""),"Add run evidence","Recorded"),IF(OR(B108="Blocked",B108="N/A"),IF(M108="","Add reason","Reason recorded"),""))</x:f>
        <x:v>Reason recorded</x:v>
      </x:c>
      <x:c r="Q108" s="4" t="str">
        <x:v>a60bcd212928103b2d81d8f2d4eae248ea2e3468</x:v>
      </x:c>
    </x:row>
    <x:row r="109" ht="86" customHeight="1">
      <x:c r="A109" s="15" t="str">
        <x:v>AF-013</x:v>
      </x:c>
      <x:c r="B109" s="19" t="str">
        <x:v>Pending</x:v>
      </x:c>
      <x:c r="C109" s="15" t="str">
        <x:v>P2</x:v>
      </x:c>
      <x:c r="D109" s="15" t="str">
        <x:v>AsynchronousFifo</x:v>
      </x:c>
      <x:c r="E109" s="15" t="str">
        <x:v>Asynchronous FIFO</x:v>
      </x:c>
      <x:c r="F109" s="15" t="str">
        <x:v>Parameter and minimum-depth limits</x:v>
      </x:c>
      <x:c r="G109" s="15" t="str">
        <x:v>wr_clk, rd_clk, wr_rst, rd_rst, wr_en, rd_en, din, dout, full, empty</x:v>
      </x:c>
      <x:c r="H109" s="15" t="str">
        <x:v>Elaborate legal data widths 1,8,16 and address widths 2,3,4. Separately try address width 1 and non-power-of-two DEPTH if that parameter exists.</x:v>
      </x:c>
      <x:c r="I109" s="15" t="str">
        <x:v>Supported configurations retain capacity and ordering. Record unsupported values as a documented constraint: slices such as [AW-2:0] or [ADDR-2:0] need special handling below address width 2.</x:v>
      </x:c>
      <x:c r="J109" s="17"/>
      <x:c r="K109" s="24"/>
      <x:c r="L109" s="17"/>
      <x:c r="M109" s="17"/>
      <x:c r="N109" s="15" t="str">
        <x:v>async_fifo.v</x:v>
      </x:c>
      <x:c r="O109" s="26" t="str">
        <x:v>https://github.com/kapiltrip/AsynchronousFifo/blob/a60bcd212928103b2d81d8f2d4eae248ea2e3468/async_fifo.v</x:v>
      </x:c>
      <x:c r="P109" s="15" t="str">
        <x:f>IF(B109="Done",IF(OR(J109="",K109="",L109=""),"Add run evidence","Recorded"),IF(OR(B109="Blocked",B109="N/A"),IF(M109="","Add reason","Reason recorded"),""))</x:f>
      </x:c>
      <x:c r="Q109" s="15" t="str">
        <x:v>a60bcd212928103b2d81d8f2d4eae248ea2e3468</x:v>
      </x:c>
    </x:row>
    <x:row r="110" ht="86" customHeight="1">
      <x:c r="A110" s="4" t="str">
        <x:v>AF-014</x:v>
      </x:c>
      <x:c r="B110" s="19" t="str">
        <x:v>Pending</x:v>
      </x:c>
      <x:c r="C110" s="4" t="str">
        <x:v>P2</x:v>
      </x:c>
      <x:c r="D110" s="4" t="str">
        <x:v>AsynchronousFifo</x:v>
      </x:c>
      <x:c r="E110" s="4" t="str">
        <x:v>Asynchronous FIFO</x:v>
      </x:c>
      <x:c r="F110" s="4" t="str">
        <x:v>CDC implementation review</x:v>
      </x:c>
      <x:c r="G110" s="4" t="str">
        <x:v>wr_clk, rd_clk, wr_rst, rd_rst, wr_en, rd_en, din, dout, full, empty</x:v>
      </x:c>
      <x:c r="H110" s="4" t="str">
        <x:v>Inspect the synthesized synchronizer paths, reset release, Gray-bus constraints and memory mapping with the target FPGA/ASIC tools.</x:v>
      </x:c>
      <x:c r="I110" s="4" t="str">
        <x:v>A CDC report and reviewed timing constraints are separate evidence. Functional simulation cannot establish metastability reliability or physical Gray-bus skew.</x:v>
      </x:c>
      <x:c r="J110" s="17"/>
      <x:c r="K110" s="24"/>
      <x:c r="L110" s="17"/>
      <x:c r="M110" s="17" t="str">
        <x:v>This is a design-review case, not a Verilog simulation pass.</x:v>
      </x:c>
      <x:c r="N110" s="4" t="str">
        <x:v>async_fifo.v</x:v>
      </x:c>
      <x:c r="O110" s="25" t="str">
        <x:v>https://github.com/kapiltrip/AsynchronousFifo/blob/a60bcd212928103b2d81d8f2d4eae248ea2e3468/async_fifo.v</x:v>
      </x:c>
      <x:c r="P110" s="4" t="str">
        <x:f>IF(B110="Done",IF(OR(J110="",K110="",L110=""),"Add run evidence","Recorded"),IF(OR(B110="Blocked",B110="N/A"),IF(M110="","Add reason","Reason recorded"),""))</x:f>
      </x:c>
      <x:c r="Q110" s="4" t="str">
        <x:v>a60bcd212928103b2d81d8f2d4eae248ea2e3468</x:v>
      </x:c>
    </x:row>
    <x:row r="111" ht="86" customHeight="1">
      <x:c r="A111" s="15" t="str">
        <x:v>VD-001</x:v>
      </x:c>
      <x:c r="B111" s="19" t="str">
        <x:v>Pending</x:v>
      </x:c>
      <x:c r="C111" s="21" t="str">
        <x:v>P0</x:v>
      </x:c>
      <x:c r="D111" s="15" t="str">
        <x:v>VerilogCodesUpdatedDaily</x:v>
      </x:c>
      <x:c r="E111" s="15" t="str">
        <x:v>Asynchronous FIFO</x:v>
      </x:c>
      <x:c r="F111" s="15" t="str">
        <x:v>Coordinated reset and idle</x:v>
      </x:c>
      <x:c r="G111" s="15" t="str">
        <x:v>write_clk, read_clk, write_reset_n, read_reset_n, write_en, read_en, write_data, read_data, full, empty</x:v>
      </x:c>
      <x:c r="H111" s="15" t="str">
        <x:v>Run both independent clocks, set write_en=read_en=0 and assert write_reset_n=read_reset_n=0. Release each reset away from its local edge.</x:v>
      </x:c>
      <x:c r="I111" s="15" t="str">
        <x:v>Local pointers reset, full=0, empty=1 and read_data=0 after reset settles. No memory clearing is required.</x:v>
      </x:c>
      <x:c r="J111" s="17"/>
      <x:c r="K111" s="24"/>
      <x:c r="L111" s="17"/>
      <x:c r="M111" s="17"/>
      <x:c r="N111" s="15" t="str">
        <x:v>async_fifo.v</x:v>
      </x:c>
      <x:c r="O111" s="26" t="str">
        <x:v>https://github.com/kapiltrip/VerilogCodesUpdatedDaily/blob/16ce5086bddef41aa977a31440509a0c4219d3c0/async_fifo.v</x:v>
      </x:c>
      <x:c r="P111" s="15" t="str">
        <x:f>IF(B111="Done",IF(OR(J111="",K111="",L111=""),"Add run evidence","Recorded"),IF(OR(B111="Blocked",B111="N/A"),IF(M111="","Add reason","Reason recorded"),""))</x:f>
      </x:c>
      <x:c r="Q111" s="15" t="str">
        <x:v>16ce5086bddef41aa977a31440509a0c4219d3c0</x:v>
      </x:c>
    </x:row>
    <x:row r="112" ht="86" customHeight="1">
      <x:c r="A112" s="4" t="str">
        <x:v>VD-002</x:v>
      </x:c>
      <x:c r="B112" s="19" t="str">
        <x:v>Pending</x:v>
      </x:c>
      <x:c r="C112" s="20" t="str">
        <x:v>P0</x:v>
      </x:c>
      <x:c r="D112" s="4" t="str">
        <x:v>VerilogCodesUpdatedDaily</x:v>
      </x:c>
      <x:c r="E112" s="4" t="str">
        <x:v>Asynchronous FIFO</x:v>
      </x:c>
      <x:c r="F112" s="4" t="str">
        <x:v>First word crosses to read domain</x:v>
      </x:c>
      <x:c r="G112" s="4" t="str">
        <x:v>write_clk, read_clk, write_reset_n, read_reset_n, write_en, read_en, write_data, read_data, full, empty</x:v>
      </x:c>
      <x:c r="H112" s="4" t="str">
        <x:v>Write A5 once on write_clk while full=0; keep read_en=0 and watch empty on successive read_clk edges. Then request one accepted read.</x:v>
      </x:c>
      <x:c r="I112" s="4" t="str">
        <x:v>empty deasserts only after synchronized write-pointer visibility. read_data=A5 after the accepted read_clk edge. Flags are combinational from current pointers and sync2. Inspect the actual synchronizer wiring before trusting the expected two-stage delay.</x:v>
      </x:c>
      <x:c r="J112" s="17"/>
      <x:c r="K112" s="24"/>
      <x:c r="L112" s="17"/>
      <x:c r="M112" s="17"/>
      <x:c r="N112" s="4" t="str">
        <x:v>async_fifo.v</x:v>
      </x:c>
      <x:c r="O112" s="25" t="str">
        <x:v>https://github.com/kapiltrip/VerilogCodesUpdatedDaily/blob/16ce5086bddef41aa977a31440509a0c4219d3c0/async_fifo.v</x:v>
      </x:c>
      <x:c r="P112" s="4" t="str">
        <x:f>IF(B112="Done",IF(OR(J112="",K112="",L112=""),"Add run evidence","Recorded"),IF(OR(B112="Blocked",B112="N/A"),IF(M112="","Add reason","Reason recorded"),""))</x:f>
      </x:c>
      <x:c r="Q112" s="4" t="str">
        <x:v>16ce5086bddef41aa977a31440509a0c4219d3c0</x:v>
      </x:c>
    </x:row>
    <x:row r="113" ht="86" customHeight="1">
      <x:c r="A113" s="15" t="str">
        <x:v>VD-003</x:v>
      </x:c>
      <x:c r="B113" s="19" t="str">
        <x:v>Pending</x:v>
      </x:c>
      <x:c r="C113" s="21" t="str">
        <x:v>P0</x:v>
      </x:c>
      <x:c r="D113" s="15" t="str">
        <x:v>VerilogCodesUpdatedDaily</x:v>
      </x:c>
      <x:c r="E113" s="15" t="str">
        <x:v>Asynchronous FIFO</x:v>
      </x:c>
      <x:c r="F113" s="15" t="str">
        <x:v>Fill, overflow, drain and underflow</x:v>
      </x:c>
      <x:c r="G113" s="15" t="str">
        <x:v>write_clk, read_clk, write_reset_n, read_reset_n, write_en, read_en, write_data, read_data, full, empty</x:v>
      </x:c>
      <x:c r="H113" s="15" t="str">
        <x:v>With reads stopped, write DEPTH words (DEPTH (default 8)), attempt extra writes, then drain after empty clears. Attempt extra reads.</x:v>
      </x:c>
      <x:c r="I113" s="15" t="str">
        <x:v>Exactly DEPTH original words return in order. Full writes and empty reads never move local pointers. Final full=0 and empty=1 after clock-domain propagation.</x:v>
      </x:c>
      <x:c r="J113" s="17"/>
      <x:c r="K113" s="24"/>
      <x:c r="L113" s="17"/>
      <x:c r="M113" s="17"/>
      <x:c r="N113" s="15" t="str">
        <x:v>async_fifo.v</x:v>
      </x:c>
      <x:c r="O113" s="26" t="str">
        <x:v>https://github.com/kapiltrip/VerilogCodesUpdatedDaily/blob/16ce5086bddef41aa977a31440509a0c4219d3c0/async_fifo.v</x:v>
      </x:c>
      <x:c r="P113" s="15" t="str">
        <x:f>IF(B113="Done",IF(OR(J113="",K113="",L113=""),"Add run evidence","Recorded"),IF(OR(B113="Blocked",B113="N/A"),IF(M113="","Add reason","Reason recorded"),""))</x:f>
      </x:c>
      <x:c r="Q113" s="15" t="str">
        <x:v>16ce5086bddef41aa977a31440509a0c4219d3c0</x:v>
      </x:c>
    </x:row>
    <x:row r="114" ht="86" customHeight="1">
      <x:c r="A114" s="4" t="str">
        <x:v>VD-004</x:v>
      </x:c>
      <x:c r="B114" s="19" t="str">
        <x:v>Pending</x:v>
      </x:c>
      <x:c r="C114" s="4" t="str">
        <x:v>P1</x:v>
      </x:c>
      <x:c r="D114" s="4" t="str">
        <x:v>VerilogCodesUpdatedDaily</x:v>
      </x:c>
      <x:c r="E114" s="4" t="str">
        <x:v>Asynchronous FIFO</x:v>
      </x:c>
      <x:c r="F114" s="4" t="str">
        <x:v>Fast writer and slow reader</x:v>
      </x:c>
      <x:c r="G114" s="4" t="str">
        <x:v>write_clk, read_clk, write_reset_n, read_reset_n, write_en, read_en, write_data, read_data, full, empty</x:v>
      </x:c>
      <x:c r="H114" s="4" t="str">
        <x:v>Use write/read periods 10 ns/31 ns, unrelated initial phases, and bursts long enough to reach full.</x:v>
      </x:c>
      <x:c r="I114" s="4" t="str">
        <x:v>Only locally accepted operations enter the reference queue; no loss/reordering. full may conservatively remain high while a read propagates.</x:v>
      </x:c>
      <x:c r="J114" s="17"/>
      <x:c r="K114" s="24"/>
      <x:c r="L114" s="17"/>
      <x:c r="M114" s="17"/>
      <x:c r="N114" s="4" t="str">
        <x:v>async_fifo.v</x:v>
      </x:c>
      <x:c r="O114" s="25" t="str">
        <x:v>https://github.com/kapiltrip/VerilogCodesUpdatedDaily/blob/16ce5086bddef41aa977a31440509a0c4219d3c0/async_fifo.v</x:v>
      </x:c>
      <x:c r="P114" s="4" t="str">
        <x:f>IF(B114="Done",IF(OR(J114="",K114="",L114=""),"Add run evidence","Recorded"),IF(OR(B114="Blocked",B114="N/A"),IF(M114="","Add reason","Reason recorded"),""))</x:f>
      </x:c>
      <x:c r="Q114" s="4" t="str">
        <x:v>16ce5086bddef41aa977a31440509a0c4219d3c0</x:v>
      </x:c>
    </x:row>
    <x:row r="115" ht="86" customHeight="1">
      <x:c r="A115" s="15" t="str">
        <x:v>VD-005</x:v>
      </x:c>
      <x:c r="B115" s="19" t="str">
        <x:v>Pending</x:v>
      </x:c>
      <x:c r="C115" s="15" t="str">
        <x:v>P1</x:v>
      </x:c>
      <x:c r="D115" s="15" t="str">
        <x:v>VerilogCodesUpdatedDaily</x:v>
      </x:c>
      <x:c r="E115" s="15" t="str">
        <x:v>Asynchronous FIFO</x:v>
      </x:c>
      <x:c r="F115" s="15" t="str">
        <x:v>Slow writer and fast reader</x:v>
      </x:c>
      <x:c r="G115" s="15" t="str">
        <x:v>write_clk, read_clk, write_reset_n, read_reset_n, write_en, read_en, write_data, read_data, full, empty</x:v>
      </x:c>
      <x:c r="H115" s="15" t="str">
        <x:v>Use write/read periods 29 ns/8 ns, then reverse the rates; repeatedly touch empty.</x:v>
      </x:c>
      <x:c r="I115" s="15" t="str">
        <x:v>No stale/unwritten word is consumed. empty can remain high while a remote write propagates.</x:v>
      </x:c>
      <x:c r="J115" s="17"/>
      <x:c r="K115" s="24"/>
      <x:c r="L115" s="17"/>
      <x:c r="M115" s="17"/>
      <x:c r="N115" s="15" t="str">
        <x:v>async_fifo.v</x:v>
      </x:c>
      <x:c r="O115" s="26" t="str">
        <x:v>https://github.com/kapiltrip/VerilogCodesUpdatedDaily/blob/16ce5086bddef41aa977a31440509a0c4219d3c0/async_fifo.v</x:v>
      </x:c>
      <x:c r="P115" s="15" t="str">
        <x:f>IF(B115="Done",IF(OR(J115="",K115="",L115=""),"Add run evidence","Recorded"),IF(OR(B115="Blocked",B115="N/A"),IF(M115="","Add reason","Reason recorded"),""))</x:f>
      </x:c>
      <x:c r="Q115" s="15" t="str">
        <x:v>16ce5086bddef41aa977a31440509a0c4219d3c0</x:v>
      </x:c>
    </x:row>
    <x:row r="116" ht="86" customHeight="1">
      <x:c r="A116" s="4" t="str">
        <x:v>VD-006</x:v>
      </x:c>
      <x:c r="B116" s="19" t="str">
        <x:v>Pending</x:v>
      </x:c>
      <x:c r="C116" s="4" t="str">
        <x:v>P1</x:v>
      </x:c>
      <x:c r="D116" s="4" t="str">
        <x:v>VerilogCodesUpdatedDaily</x:v>
      </x:c>
      <x:c r="E116" s="4" t="str">
        <x:v>Asynchronous FIFO</x:v>
      </x:c>
      <x:c r="F116" s="4" t="str">
        <x:v>Equal rates with phase shifts</x:v>
      </x:c>
      <x:c r="G116" s="4" t="str">
        <x:v>write_clk, read_clk, write_reset_n, read_reset_n, write_en, read_en, write_data, read_data, full, empty</x:v>
      </x:c>
      <x:c r="H116" s="4" t="str">
        <x:v>Use 10 ns/10 ns clocks with offsets 0,2,5 ns. Include coincident edges and continuous traffic at half occupancy.</x:v>
      </x:c>
      <x:c r="I116" s="4" t="str">
        <x:v>Ordered data with race-free stimulus. Determine each operation from its own pre-edge full/empty; do not order coincident events by testbench process scheduling.</x:v>
      </x:c>
      <x:c r="J116" s="17"/>
      <x:c r="K116" s="24"/>
      <x:c r="L116" s="17"/>
      <x:c r="M116" s="17"/>
      <x:c r="N116" s="4" t="str">
        <x:v>async_fifo.v</x:v>
      </x:c>
      <x:c r="O116" s="25" t="str">
        <x:v>https://github.com/kapiltrip/VerilogCodesUpdatedDaily/blob/16ce5086bddef41aa977a31440509a0c4219d3c0/async_fifo.v</x:v>
      </x:c>
      <x:c r="P116" s="4" t="str">
        <x:f>IF(B116="Done",IF(OR(J116="",K116="",L116=""),"Add run evidence","Recorded"),IF(OR(B116="Blocked",B116="N/A"),IF(M116="","Add reason","Reason recorded"),""))</x:f>
      </x:c>
      <x:c r="Q116" s="4" t="str">
        <x:v>16ce5086bddef41aa977a31440509a0c4219d3c0</x:v>
      </x:c>
    </x:row>
    <x:row r="117" ht="86" customHeight="1">
      <x:c r="A117" s="15" t="str">
        <x:v>VD-007</x:v>
      </x:c>
      <x:c r="B117" s="19" t="str">
        <x:v>Pending</x:v>
      </x:c>
      <x:c r="C117" s="21" t="str">
        <x:v>P0</x:v>
      </x:c>
      <x:c r="D117" s="15" t="str">
        <x:v>VerilogCodesUpdatedDaily</x:v>
      </x:c>
      <x:c r="E117" s="15" t="str">
        <x:v>Asynchronous FIFO</x:v>
      </x:c>
      <x:c r="F117" s="15" t="str">
        <x:v>Gray pointers and blocked requests</x:v>
      </x:c>
      <x:c r="G117" s="15" t="str">
        <x:v>write_clk, read_clk, write_reset_n, read_reset_n, write_en, read_en, write_data, read_data, full, empty</x:v>
      </x:c>
      <x:c r="H117" s="15" t="str">
        <x:v>Observe local binary/Gray pointer pairs through wrap. Hold write_en=1 at full and read_en=1 at empty.</x:v>
      </x:c>
      <x:c r="I117" s="15" t="str">
        <x:v>Local pointer increments only on accepted operations; Gray equals binary XOR (binary shifted right one). Successive LOCAL Gray values differ in one bit, or zero when holding. Destination samples may skip states and differ in multiple bits.</x:v>
      </x:c>
      <x:c r="J117" s="17"/>
      <x:c r="K117" s="24"/>
      <x:c r="L117" s="17"/>
      <x:c r="M117" s="17"/>
      <x:c r="N117" s="15" t="str">
        <x:v>async_fifo.v</x:v>
      </x:c>
      <x:c r="O117" s="26" t="str">
        <x:v>https://github.com/kapiltrip/VerilogCodesUpdatedDaily/blob/16ce5086bddef41aa977a31440509a0c4219d3c0/async_fifo.v</x:v>
      </x:c>
      <x:c r="P117" s="15" t="str">
        <x:f>IF(B117="Done",IF(OR(J117="",K117="",L117=""),"Add run evidence","Recorded"),IF(OR(B117="Blocked",B117="N/A"),IF(M117="","Add reason","Reason recorded"),""))</x:f>
      </x:c>
      <x:c r="Q117" s="15" t="str">
        <x:v>16ce5086bddef41aa977a31440509a0c4219d3c0</x:v>
      </x:c>
    </x:row>
    <x:row r="118" ht="86" customHeight="1">
      <x:c r="A118" s="4" t="str">
        <x:v>VD-008</x:v>
      </x:c>
      <x:c r="B118" s="19" t="str">
        <x:v>Pending</x:v>
      </x:c>
      <x:c r="C118" s="20" t="str">
        <x:v>P0</x:v>
      </x:c>
      <x:c r="D118" s="4" t="str">
        <x:v>VerilogCodesUpdatedDaily</x:v>
      </x:c>
      <x:c r="E118" s="4" t="str">
        <x:v>Asynchronous FIFO</x:v>
      </x:c>
      <x:c r="F118" s="4" t="str">
        <x:v>Synchronizer direction and flag latency</x:v>
      </x:c>
      <x:c r="G118" s="4" t="str">
        <x:v>write_clk, read_clk, write_reset_n, read_reset_n, write_en, read_en, write_data, read_data, full, empty</x:v>
      </x:c>
      <x:c r="H118" s="4" t="str">
        <x:v>Apply one remote pointer change while the destination clock runs; trace first and second synchronization stages on each destination edge.</x:v>
      </x:c>
      <x:c r="I118" s="4" t="str">
        <x:v>Stage 1 samples the remote pointer; stage 2 samples previous stage 1. Flags must use stage 2. Flags are combinational from current pointers and sync2. Inspect the actual synchronizer wiring before trusting the expected two-stage delay.</x:v>
      </x:c>
      <x:c r="J118" s="17"/>
      <x:c r="K118" s="24"/>
      <x:c r="L118" s="17"/>
      <x:c r="M118" s="17"/>
      <x:c r="N118" s="4" t="str">
        <x:v>async_fifo.v</x:v>
      </x:c>
      <x:c r="O118" s="25" t="str">
        <x:v>https://github.com/kapiltrip/VerilogCodesUpdatedDaily/blob/16ce5086bddef41aa977a31440509a0c4219d3c0/async_fifo.v</x:v>
      </x:c>
      <x:c r="P118" s="4" t="str">
        <x:f>IF(B118="Done",IF(OR(J118="",K118="",L118=""),"Add run evidence","Recorded"),IF(OR(B118="Blocked",B118="N/A"),IF(M118="","Add reason","Reason recorded"),""))</x:f>
      </x:c>
      <x:c r="Q118" s="4" t="str">
        <x:v>16ce5086bddef41aa977a31440509a0c4219d3c0</x:v>
      </x:c>
    </x:row>
    <x:row r="119" ht="86" customHeight="1">
      <x:c r="A119" s="15" t="str">
        <x:v>VD-009</x:v>
      </x:c>
      <x:c r="B119" s="19" t="str">
        <x:v>Pending</x:v>
      </x:c>
      <x:c r="C119" s="15" t="str">
        <x:v>P1</x:v>
      </x:c>
      <x:c r="D119" s="15" t="str">
        <x:v>VerilogCodesUpdatedDaily</x:v>
      </x:c>
      <x:c r="E119" s="15" t="str">
        <x:v>Asynchronous FIFO</x:v>
      </x:c>
      <x:c r="F119" s="15" t="str">
        <x:v>Clock stop and restart</x:v>
      </x:c>
      <x:c r="G119" s="15" t="str">
        <x:v>write_clk, read_clk, write_reset_n, read_reset_n, write_en, read_en, write_data, read_data, full, empty</x:v>
      </x:c>
      <x:c r="H119" s="15" t="str">
        <x:v>Pause read_clk while writing to full, then resume it; repeat by pausing write_clk during reads.</x:v>
      </x:c>
      <x:c r="I119" s="15" t="str">
        <x:v>No operation occurs without its local clock; flags converge after the stopped clock resumes. Scoreboard order survives the pause.</x:v>
      </x:c>
      <x:c r="J119" s="17"/>
      <x:c r="K119" s="24"/>
      <x:c r="L119" s="17"/>
      <x:c r="M119" s="17"/>
      <x:c r="N119" s="15" t="str">
        <x:v>async_fifo.v</x:v>
      </x:c>
      <x:c r="O119" s="26" t="str">
        <x:v>https://github.com/kapiltrip/VerilogCodesUpdatedDaily/blob/16ce5086bddef41aa977a31440509a0c4219d3c0/async_fifo.v</x:v>
      </x:c>
      <x:c r="P119" s="15" t="str">
        <x:f>IF(B119="Done",IF(OR(J119="",K119="",L119=""),"Add run evidence","Recorded"),IF(OR(B119="Blocked",B119="N/A"),IF(M119="","Add reason","Reason recorded"),""))</x:f>
      </x:c>
      <x:c r="Q119" s="15" t="str">
        <x:v>16ce5086bddef41aa977a31440509a0c4219d3c0</x:v>
      </x:c>
    </x:row>
    <x:row r="120" ht="86" customHeight="1">
      <x:c r="A120" s="4" t="str">
        <x:v>VD-010</x:v>
      </x:c>
      <x:c r="B120" s="19" t="str">
        <x:v>Pending</x:v>
      </x:c>
      <x:c r="C120" s="4" t="str">
        <x:v>P2</x:v>
      </x:c>
      <x:c r="D120" s="4" t="str">
        <x:v>VerilogCodesUpdatedDaily</x:v>
      </x:c>
      <x:c r="E120" s="4" t="str">
        <x:v>Asynchronous FIFO</x:v>
      </x:c>
      <x:c r="F120" s="4" t="str">
        <x:v>Many laps and random bursts</x:v>
      </x:c>
      <x:c r="G120" s="4" t="str">
        <x:v>write_clk, read_clk, write_reset_n, read_reset_n, write_en, read_en, write_data, read_data, full, empty</x:v>
      </x:c>
      <x:c r="H120" s="4" t="str">
        <x:v>Run at least four complete pointer laps for three recorded seeds and clock ratios. Compare every accepted read with a software reference queue.</x:v>
      </x:c>
      <x:c r="I120" s="4" t="str">
        <x:v>No duplicates, drops or ordering errors. End with both clocks running and fully drain the reference queue.</x:v>
      </x:c>
      <x:c r="J120" s="17"/>
      <x:c r="K120" s="24"/>
      <x:c r="L120" s="17"/>
      <x:c r="M120" s="17"/>
      <x:c r="N120" s="4" t="str">
        <x:v>async_fifo.v</x:v>
      </x:c>
      <x:c r="O120" s="25" t="str">
        <x:v>https://github.com/kapiltrip/VerilogCodesUpdatedDaily/blob/16ce5086bddef41aa977a31440509a0c4219d3c0/async_fifo.v</x:v>
      </x:c>
      <x:c r="P120" s="4" t="str">
        <x:f>IF(B120="Done",IF(OR(J120="",K120="",L120=""),"Add run evidence","Recorded"),IF(OR(B120="Blocked",B120="N/A"),IF(M120="","Add reason","Reason recorded"),""))</x:f>
      </x:c>
      <x:c r="Q120" s="4" t="str">
        <x:v>16ce5086bddef41aa977a31440509a0c4219d3c0</x:v>
      </x:c>
    </x:row>
    <x:row r="121" ht="86" customHeight="1">
      <x:c r="A121" s="15" t="str">
        <x:v>VD-011</x:v>
      </x:c>
      <x:c r="B121" s="19" t="str">
        <x:v>Pending</x:v>
      </x:c>
      <x:c r="C121" s="15" t="str">
        <x:v>P1</x:v>
      </x:c>
      <x:c r="D121" s="15" t="str">
        <x:v>VerilogCodesUpdatedDaily</x:v>
      </x:c>
      <x:c r="E121" s="15" t="str">
        <x:v>Asynchronous FIFO</x:v>
      </x:c>
      <x:c r="F121" s="15" t="str">
        <x:v>Both resets during traffic</x:v>
      </x:c>
      <x:c r="G121" s="15" t="str">
        <x:v>write_clk, read_clk, write_reset_n, read_reset_n, write_en, read_en, write_data, read_data, full, empty</x:v>
      </x:c>
      <x:c r="H121" s="15" t="str">
        <x:v>Prefill, assert both resets during a burst, flush the expected queue, restart clocks and send a fresh known sequence.</x:v>
      </x:c>
      <x:c r="I121" s="15" t="str">
        <x:v>Reset discards previous queued data; only new writes are considered valid. No assumptions about clearing memory cells.</x:v>
      </x:c>
      <x:c r="J121" s="17"/>
      <x:c r="K121" s="24"/>
      <x:c r="L121" s="17"/>
      <x:c r="M121" s="17"/>
      <x:c r="N121" s="15" t="str">
        <x:v>async_fifo.v</x:v>
      </x:c>
      <x:c r="O121" s="26" t="str">
        <x:v>https://github.com/kapiltrip/VerilogCodesUpdatedDaily/blob/16ce5086bddef41aa977a31440509a0c4219d3c0/async_fifo.v</x:v>
      </x:c>
      <x:c r="P121" s="15" t="str">
        <x:f>IF(B121="Done",IF(OR(J121="",K121="",L121=""),"Add run evidence","Recorded"),IF(OR(B121="Blocked",B121="N/A"),IF(M121="","Add reason","Reason recorded"),""))</x:f>
      </x:c>
      <x:c r="Q121" s="15" t="str">
        <x:v>16ce5086bddef41aa977a31440509a0c4219d3c0</x:v>
      </x:c>
    </x:row>
    <x:row r="122" ht="86" customHeight="1">
      <x:c r="A122" s="4" t="str">
        <x:v>VD-012</x:v>
      </x:c>
      <x:c r="B122" s="23" t="str">
        <x:v>Blocked</x:v>
      </x:c>
      <x:c r="C122" s="4" t="str">
        <x:v>P1</x:v>
      </x:c>
      <x:c r="D122" s="4" t="str">
        <x:v>VerilogCodesUpdatedDaily</x:v>
      </x:c>
      <x:c r="E122" s="4" t="str">
        <x:v>Asynchronous FIFO</x:v>
      </x:c>
      <x:c r="F122" s="4" t="str">
        <x:v>One-sided reset contract</x:v>
      </x:c>
      <x:c r="G122" s="4" t="str">
        <x:v>write_clk, read_clk, write_reset_n, read_reset_n, write_en, read_en, write_data, read_data, full, empty</x:v>
      </x:c>
      <x:c r="H122" s="4" t="str">
        <x:v>Consider asserting only write_reset_n, then only read_reset_n, while data is pending. Define whether the whole FIFO is flushed or one domain may continue before executing.</x:v>
      </x:c>
      <x:c r="I122" s="4" t="str">
        <x:v>Pass criteria require an agreed system reset policy. Current independent pointer resets do not guarantee preservation of unread data after a one-sided reset.</x:v>
      </x:c>
      <x:c r="J122" s="17"/>
      <x:c r="K122" s="24"/>
      <x:c r="L122" s="17"/>
      <x:c r="M122" s="17" t="str">
        <x:v>Resolve reset policy first; never mark data preservation proven by ordinary RTL simulation.</x:v>
      </x:c>
      <x:c r="N122" s="4" t="str">
        <x:v>async_fifo.v</x:v>
      </x:c>
      <x:c r="O122" s="25" t="str">
        <x:v>https://github.com/kapiltrip/VerilogCodesUpdatedDaily/blob/16ce5086bddef41aa977a31440509a0c4219d3c0/async_fifo.v</x:v>
      </x:c>
      <x:c r="P122" s="4" t="str">
        <x:f>IF(B122="Done",IF(OR(J122="",K122="",L122=""),"Add run evidence","Recorded"),IF(OR(B122="Blocked",B122="N/A"),IF(M122="","Add reason","Reason recorded"),""))</x:f>
        <x:v>Reason recorded</x:v>
      </x:c>
      <x:c r="Q122" s="4" t="str">
        <x:v>16ce5086bddef41aa977a31440509a0c4219d3c0</x:v>
      </x:c>
    </x:row>
    <x:row r="123" ht="86" customHeight="1">
      <x:c r="A123" s="15" t="str">
        <x:v>VD-013</x:v>
      </x:c>
      <x:c r="B123" s="19" t="str">
        <x:v>Pending</x:v>
      </x:c>
      <x:c r="C123" s="15" t="str">
        <x:v>P2</x:v>
      </x:c>
      <x:c r="D123" s="15" t="str">
        <x:v>VerilogCodesUpdatedDaily</x:v>
      </x:c>
      <x:c r="E123" s="15" t="str">
        <x:v>Asynchronous FIFO</x:v>
      </x:c>
      <x:c r="F123" s="15" t="str">
        <x:v>Parameter and minimum-depth limits</x:v>
      </x:c>
      <x:c r="G123" s="15" t="str">
        <x:v>write_clk, read_clk, write_reset_n, read_reset_n, write_en, read_en, write_data, read_data, full, empty</x:v>
      </x:c>
      <x:c r="H123" s="15" t="str">
        <x:v>Elaborate legal data widths 1,8,16 and address widths 2,3,4. Separately try address width 1 and non-power-of-two DEPTH if that parameter exists.</x:v>
      </x:c>
      <x:c r="I123" s="15" t="str">
        <x:v>Supported configurations retain capacity and ordering. Record unsupported values as a documented constraint: slices such as [AW-2:0] or [ADDR-2:0] need special handling below address width 2.</x:v>
      </x:c>
      <x:c r="J123" s="17"/>
      <x:c r="K123" s="24"/>
      <x:c r="L123" s="17"/>
      <x:c r="M123" s="17"/>
      <x:c r="N123" s="15" t="str">
        <x:v>async_fifo.v</x:v>
      </x:c>
      <x:c r="O123" s="26" t="str">
        <x:v>https://github.com/kapiltrip/VerilogCodesUpdatedDaily/blob/16ce5086bddef41aa977a31440509a0c4219d3c0/async_fifo.v</x:v>
      </x:c>
      <x:c r="P123" s="15" t="str">
        <x:f>IF(B123="Done",IF(OR(J123="",K123="",L123=""),"Add run evidence","Recorded"),IF(OR(B123="Blocked",B123="N/A"),IF(M123="","Add reason","Reason recorded"),""))</x:f>
      </x:c>
      <x:c r="Q123" s="15" t="str">
        <x:v>16ce5086bddef41aa977a31440509a0c4219d3c0</x:v>
      </x:c>
    </x:row>
    <x:row r="124" ht="86" customHeight="1">
      <x:c r="A124" s="4" t="str">
        <x:v>VD-014</x:v>
      </x:c>
      <x:c r="B124" s="19" t="str">
        <x:v>Pending</x:v>
      </x:c>
      <x:c r="C124" s="4" t="str">
        <x:v>P2</x:v>
      </x:c>
      <x:c r="D124" s="4" t="str">
        <x:v>VerilogCodesUpdatedDaily</x:v>
      </x:c>
      <x:c r="E124" s="4" t="str">
        <x:v>Asynchronous FIFO</x:v>
      </x:c>
      <x:c r="F124" s="4" t="str">
        <x:v>CDC implementation review</x:v>
      </x:c>
      <x:c r="G124" s="4" t="str">
        <x:v>write_clk, read_clk, write_reset_n, read_reset_n, write_en, read_en, write_data, read_data, full, empty</x:v>
      </x:c>
      <x:c r="H124" s="4" t="str">
        <x:v>Inspect the synthesized synchronizer paths, reset release, Gray-bus constraints and memory mapping with the target FPGA/ASIC tools.</x:v>
      </x:c>
      <x:c r="I124" s="4" t="str">
        <x:v>A CDC report and reviewed timing constraints are separate evidence. Functional simulation cannot establish metastability reliability or physical Gray-bus skew.</x:v>
      </x:c>
      <x:c r="J124" s="17"/>
      <x:c r="K124" s="24"/>
      <x:c r="L124" s="17"/>
      <x:c r="M124" s="17" t="str">
        <x:v>This is a design-review case, not a Verilog simulation pass.</x:v>
      </x:c>
      <x:c r="N124" s="4" t="str">
        <x:v>async_fifo.v</x:v>
      </x:c>
      <x:c r="O124" s="25" t="str">
        <x:v>https://github.com/kapiltrip/VerilogCodesUpdatedDaily/blob/16ce5086bddef41aa977a31440509a0c4219d3c0/async_fifo.v</x:v>
      </x:c>
      <x:c r="P124" s="4" t="str">
        <x:f>IF(B124="Done",IF(OR(J124="",K124="",L124=""),"Add run evidence","Recorded"),IF(OR(B124="Blocked",B124="N/A"),IF(M124="","Add reason","Reason recorded"),""))</x:f>
      </x:c>
      <x:c r="Q124" s="4" t="str">
        <x:v>16ce5086bddef41aa977a31440509a0c4219d3c0</x:v>
      </x:c>
    </x:row>
    <x:row r="125" ht="86" customHeight="1">
      <x:c r="A125" s="15" t="str">
        <x:v>VD-015</x:v>
      </x:c>
      <x:c r="B125" s="19" t="str">
        <x:v>Pending</x:v>
      </x:c>
      <x:c r="C125" s="21" t="str">
        <x:v>P0</x:v>
      </x:c>
      <x:c r="D125" s="15" t="str">
        <x:v>VerilogCodesUpdatedDaily</x:v>
      </x:c>
      <x:c r="E125" s="15" t="str">
        <x:v>Asynchronous FIFO</x:v>
      </x:c>
      <x:c r="F125" s="15" t="str">
        <x:v>Detect reversed synchronizer assignments</x:v>
      </x:c>
      <x:c r="G125" s="15" t="str">
        <x:v>write_clk, read_clk, write_ptr_gray, write_ptr_gray_sync1, write_ptr_gray_sync2, read_ptr_gray, read_ptr_gray_sync1, read_ptr_gray_sync2</x:v>
      </x:c>
      <x:c r="H125" s="15" t="str">
        <x:v>Change one source Gray pointer; inspect the concatenated nonblocking assignment at each destination edge.</x:v>
      </x:c>
      <x:c r="I125" s="15" t="str">
        <x:v>Required two-stage topology is sync1 &lt;- remote and sync2 &lt;- old sync1. The current concatenations instead feed sync2 directly from remote and sync1 from old sync2. Record this as a CDC structural defect, independently of data-loopback results.</x:v>
      </x:c>
      <x:c r="J125" s="17"/>
      <x:c r="K125" s="24"/>
      <x:c r="L125" s="17"/>
      <x:c r="M125" s="17" t="str">
        <x:v>Static source finding; no CDC or simulation run claimed.</x:v>
      </x:c>
      <x:c r="N125" s="15" t="str">
        <x:v>async_fifo.v</x:v>
      </x:c>
      <x:c r="O125" s="26" t="str">
        <x:v>https://github.com/kapiltrip/VerilogCodesUpdatedDaily/blob/16ce5086bddef41aa977a31440509a0c4219d3c0/async_fifo.v</x:v>
      </x:c>
      <x:c r="P125" s="15" t="str">
        <x:f>IF(B125="Done",IF(OR(J125="",K125="",L125=""),"Add run evidence","Recorded"),IF(OR(B125="Blocked",B125="N/A"),IF(M125="","Add reason","Reason recorded"),""))</x:f>
      </x:c>
      <x:c r="Q125" s="15" t="str">
        <x:v>16ce5086bddef41aa977a31440509a0c4219d3c0</x:v>
      </x:c>
    </x:row>
    <x:row r="126" ht="86" customHeight="1">
      <x:c r="A126" s="4" t="str">
        <x:v>GQ-001</x:v>
      </x:c>
      <x:c r="B126" s="19" t="str">
        <x:v>Pending</x:v>
      </x:c>
      <x:c r="C126" s="20" t="str">
        <x:v>P0</x:v>
      </x:c>
      <x:c r="D126" s="4" t="str">
        <x:v>GoodQuestions</x:v>
      </x:c>
      <x:c r="E126" s="4" t="str">
        <x:v>Asynchronous FIFO</x:v>
      </x:c>
      <x:c r="F126" s="4" t="str">
        <x:v>Coordinated reset and idle</x:v>
      </x:c>
      <x:c r="G126" s="4" t="str">
        <x:v>wrclk, rdclk, wrrst, rdrst, wren, rden, din, dout, full, empty</x:v>
      </x:c>
      <x:c r="H126" s="4" t="str">
        <x:v>Run both independent clocks, set wren=rden=0 and assert wrrst=rdrst=1. Release each reset away from its local edge.</x:v>
      </x:c>
      <x:c r="I126" s="4" t="str">
        <x:v>Local pointers reset, full=0, empty=1 and dout=0 after reset settles. No memory clearing is required.</x:v>
      </x:c>
      <x:c r="J126" s="17"/>
      <x:c r="K126" s="24"/>
      <x:c r="L126" s="17"/>
      <x:c r="M126" s="17"/>
      <x:c r="N126" s="4" t="str">
        <x:v>qa/pdf_q31/q31_async_fifo_grayptr.v</x:v>
      </x:c>
      <x:c r="O126" s="25" t="str">
        <x:v>https://github.com/kapiltrip/GoodQuestions/blob/a83e5a8a5d7262dd223ebbf4af2bf4c8434d9701/qa/pdf_q31/q31_async_fifo_grayptr.v</x:v>
      </x:c>
      <x:c r="P126" s="4" t="str">
        <x:f>IF(B126="Done",IF(OR(J126="",K126="",L126=""),"Add run evidence","Recorded"),IF(OR(B126="Blocked",B126="N/A"),IF(M126="","Add reason","Reason recorded"),""))</x:f>
      </x:c>
      <x:c r="Q126" s="4" t="str">
        <x:v>a83e5a8a5d7262dd223ebbf4af2bf4c8434d9701</x:v>
      </x:c>
    </x:row>
    <x:row r="127" ht="86" customHeight="1">
      <x:c r="A127" s="15" t="str">
        <x:v>GQ-002</x:v>
      </x:c>
      <x:c r="B127" s="19" t="str">
        <x:v>Pending</x:v>
      </x:c>
      <x:c r="C127" s="21" t="str">
        <x:v>P0</x:v>
      </x:c>
      <x:c r="D127" s="15" t="str">
        <x:v>GoodQuestions</x:v>
      </x:c>
      <x:c r="E127" s="15" t="str">
        <x:v>Asynchronous FIFO</x:v>
      </x:c>
      <x:c r="F127" s="15" t="str">
        <x:v>First word crosses to read domain</x:v>
      </x:c>
      <x:c r="G127" s="15" t="str">
        <x:v>wrclk, rdclk, wrrst, rdrst, wren, rden, din, dout, full, empty</x:v>
      </x:c>
      <x:c r="H127" s="15" t="str">
        <x:v>Write A5 once on wrclk while full=0; keep rden=0 and watch empty on successive rdclk edges. Then request one accepted read.</x:v>
      </x:c>
      <x:c r="I127" s="15" t="str">
        <x:v>empty deasserts only after synchronized write-pointer visibility. dout=A5 after the accepted rdclk edge. This variant directly computes flags from next pointers. First test the combinational feedback at empty/full.</x:v>
      </x:c>
      <x:c r="J127" s="17"/>
      <x:c r="K127" s="24"/>
      <x:c r="L127" s="17"/>
      <x:c r="M127" s="17"/>
      <x:c r="N127" s="15" t="str">
        <x:v>qa/pdf_q31/q31_async_fifo_grayptr.v</x:v>
      </x:c>
      <x:c r="O127" s="26" t="str">
        <x:v>https://github.com/kapiltrip/GoodQuestions/blob/a83e5a8a5d7262dd223ebbf4af2bf4c8434d9701/qa/pdf_q31/q31_async_fifo_grayptr.v</x:v>
      </x:c>
      <x:c r="P127" s="15" t="str">
        <x:f>IF(B127="Done",IF(OR(J127="",K127="",L127=""),"Add run evidence","Recorded"),IF(OR(B127="Blocked",B127="N/A"),IF(M127="","Add reason","Reason recorded"),""))</x:f>
      </x:c>
      <x:c r="Q127" s="15" t="str">
        <x:v>a83e5a8a5d7262dd223ebbf4af2bf4c8434d9701</x:v>
      </x:c>
    </x:row>
    <x:row r="128" ht="86" customHeight="1">
      <x:c r="A128" s="4" t="str">
        <x:v>GQ-003</x:v>
      </x:c>
      <x:c r="B128" s="19" t="str">
        <x:v>Pending</x:v>
      </x:c>
      <x:c r="C128" s="20" t="str">
        <x:v>P0</x:v>
      </x:c>
      <x:c r="D128" s="4" t="str">
        <x:v>GoodQuestions</x:v>
      </x:c>
      <x:c r="E128" s="4" t="str">
        <x:v>Asynchronous FIFO</x:v>
      </x:c>
      <x:c r="F128" s="4" t="str">
        <x:v>Fill, overflow, drain and underflow</x:v>
      </x:c>
      <x:c r="G128" s="4" t="str">
        <x:v>wrclk, rdclk, wrrst, rdrst, wren, rden, din, dout, full, empty</x:v>
      </x:c>
      <x:c r="H128" s="4" t="str">
        <x:v>With reads stopped, write DEPTH words (2^aw (default 16)), attempt extra writes, then drain after empty clears. Attempt extra reads.</x:v>
      </x:c>
      <x:c r="I128" s="4" t="str">
        <x:v>Exactly DEPTH original words return in order. Full writes and empty reads never move local pointers. Final full=0 and empty=1 after clock-domain propagation.</x:v>
      </x:c>
      <x:c r="J128" s="17"/>
      <x:c r="K128" s="24"/>
      <x:c r="L128" s="17"/>
      <x:c r="M128" s="17"/>
      <x:c r="N128" s="4" t="str">
        <x:v>qa/pdf_q31/q31_async_fifo_grayptr.v</x:v>
      </x:c>
      <x:c r="O128" s="25" t="str">
        <x:v>https://github.com/kapiltrip/GoodQuestions/blob/a83e5a8a5d7262dd223ebbf4af2bf4c8434d9701/qa/pdf_q31/q31_async_fifo_grayptr.v</x:v>
      </x:c>
      <x:c r="P128" s="4" t="str">
        <x:f>IF(B128="Done",IF(OR(J128="",K128="",L128=""),"Add run evidence","Recorded"),IF(OR(B128="Blocked",B128="N/A"),IF(M128="","Add reason","Reason recorded"),""))</x:f>
      </x:c>
      <x:c r="Q128" s="4" t="str">
        <x:v>a83e5a8a5d7262dd223ebbf4af2bf4c8434d9701</x:v>
      </x:c>
    </x:row>
    <x:row r="129" ht="86" customHeight="1">
      <x:c r="A129" s="15" t="str">
        <x:v>GQ-004</x:v>
      </x:c>
      <x:c r="B129" s="19" t="str">
        <x:v>Pending</x:v>
      </x:c>
      <x:c r="C129" s="15" t="str">
        <x:v>P1</x:v>
      </x:c>
      <x:c r="D129" s="15" t="str">
        <x:v>GoodQuestions</x:v>
      </x:c>
      <x:c r="E129" s="15" t="str">
        <x:v>Asynchronous FIFO</x:v>
      </x:c>
      <x:c r="F129" s="15" t="str">
        <x:v>Fast writer and slow reader</x:v>
      </x:c>
      <x:c r="G129" s="15" t="str">
        <x:v>wrclk, rdclk, wrrst, rdrst, wren, rden, din, dout, full, empty</x:v>
      </x:c>
      <x:c r="H129" s="15" t="str">
        <x:v>Use write/read periods 10 ns/31 ns, unrelated initial phases, and bursts long enough to reach full.</x:v>
      </x:c>
      <x:c r="I129" s="15" t="str">
        <x:v>Only locally accepted operations enter the reference queue; no loss/reordering. full may conservatively remain high while a read propagates.</x:v>
      </x:c>
      <x:c r="J129" s="17"/>
      <x:c r="K129" s="24"/>
      <x:c r="L129" s="17"/>
      <x:c r="M129" s="17"/>
      <x:c r="N129" s="15" t="str">
        <x:v>qa/pdf_q31/q31_async_fifo_grayptr.v</x:v>
      </x:c>
      <x:c r="O129" s="26" t="str">
        <x:v>https://github.com/kapiltrip/GoodQuestions/blob/a83e5a8a5d7262dd223ebbf4af2bf4c8434d9701/qa/pdf_q31/q31_async_fifo_grayptr.v</x:v>
      </x:c>
      <x:c r="P129" s="15" t="str">
        <x:f>IF(B129="Done",IF(OR(J129="",K129="",L129=""),"Add run evidence","Recorded"),IF(OR(B129="Blocked",B129="N/A"),IF(M129="","Add reason","Reason recorded"),""))</x:f>
      </x:c>
      <x:c r="Q129" s="15" t="str">
        <x:v>a83e5a8a5d7262dd223ebbf4af2bf4c8434d9701</x:v>
      </x:c>
    </x:row>
    <x:row r="130" ht="86" customHeight="1">
      <x:c r="A130" s="4" t="str">
        <x:v>GQ-005</x:v>
      </x:c>
      <x:c r="B130" s="19" t="str">
        <x:v>Pending</x:v>
      </x:c>
      <x:c r="C130" s="4" t="str">
        <x:v>P1</x:v>
      </x:c>
      <x:c r="D130" s="4" t="str">
        <x:v>GoodQuestions</x:v>
      </x:c>
      <x:c r="E130" s="4" t="str">
        <x:v>Asynchronous FIFO</x:v>
      </x:c>
      <x:c r="F130" s="4" t="str">
        <x:v>Slow writer and fast reader</x:v>
      </x:c>
      <x:c r="G130" s="4" t="str">
        <x:v>wrclk, rdclk, wrrst, rdrst, wren, rden, din, dout, full, empty</x:v>
      </x:c>
      <x:c r="H130" s="4" t="str">
        <x:v>Use write/read periods 29 ns/8 ns, then reverse the rates; repeatedly touch empty.</x:v>
      </x:c>
      <x:c r="I130" s="4" t="str">
        <x:v>No stale/unwritten word is consumed. empty can remain high while a remote write propagates.</x:v>
      </x:c>
      <x:c r="J130" s="17"/>
      <x:c r="K130" s="24"/>
      <x:c r="L130" s="17"/>
      <x:c r="M130" s="17"/>
      <x:c r="N130" s="4" t="str">
        <x:v>qa/pdf_q31/q31_async_fifo_grayptr.v</x:v>
      </x:c>
      <x:c r="O130" s="25" t="str">
        <x:v>https://github.com/kapiltrip/GoodQuestions/blob/a83e5a8a5d7262dd223ebbf4af2bf4c8434d9701/qa/pdf_q31/q31_async_fifo_grayptr.v</x:v>
      </x:c>
      <x:c r="P130" s="4" t="str">
        <x:f>IF(B130="Done",IF(OR(J130="",K130="",L130=""),"Add run evidence","Recorded"),IF(OR(B130="Blocked",B130="N/A"),IF(M130="","Add reason","Reason recorded"),""))</x:f>
      </x:c>
      <x:c r="Q130" s="4" t="str">
        <x:v>a83e5a8a5d7262dd223ebbf4af2bf4c8434d9701</x:v>
      </x:c>
    </x:row>
    <x:row r="131" ht="86" customHeight="1">
      <x:c r="A131" s="15" t="str">
        <x:v>GQ-006</x:v>
      </x:c>
      <x:c r="B131" s="19" t="str">
        <x:v>Pending</x:v>
      </x:c>
      <x:c r="C131" s="15" t="str">
        <x:v>P1</x:v>
      </x:c>
      <x:c r="D131" s="15" t="str">
        <x:v>GoodQuestions</x:v>
      </x:c>
      <x:c r="E131" s="15" t="str">
        <x:v>Asynchronous FIFO</x:v>
      </x:c>
      <x:c r="F131" s="15" t="str">
        <x:v>Equal rates with phase shifts</x:v>
      </x:c>
      <x:c r="G131" s="15" t="str">
        <x:v>wrclk, rdclk, wrrst, rdrst, wren, rden, din, dout, full, empty</x:v>
      </x:c>
      <x:c r="H131" s="15" t="str">
        <x:v>Use 10 ns/10 ns clocks with offsets 0,2,5 ns. Include coincident edges and continuous traffic at half occupancy.</x:v>
      </x:c>
      <x:c r="I131" s="15" t="str">
        <x:v>Ordered data with race-free stimulus. Determine each operation from its own pre-edge full/empty; do not order coincident events by testbench process scheduling.</x:v>
      </x:c>
      <x:c r="J131" s="17"/>
      <x:c r="K131" s="24"/>
      <x:c r="L131" s="17"/>
      <x:c r="M131" s="17"/>
      <x:c r="N131" s="15" t="str">
        <x:v>qa/pdf_q31/q31_async_fifo_grayptr.v</x:v>
      </x:c>
      <x:c r="O131" s="26" t="str">
        <x:v>https://github.com/kapiltrip/GoodQuestions/blob/a83e5a8a5d7262dd223ebbf4af2bf4c8434d9701/qa/pdf_q31/q31_async_fifo_grayptr.v</x:v>
      </x:c>
      <x:c r="P131" s="15" t="str">
        <x:f>IF(B131="Done",IF(OR(J131="",K131="",L131=""),"Add run evidence","Recorded"),IF(OR(B131="Blocked",B131="N/A"),IF(M131="","Add reason","Reason recorded"),""))</x:f>
      </x:c>
      <x:c r="Q131" s="15" t="str">
        <x:v>a83e5a8a5d7262dd223ebbf4af2bf4c8434d9701</x:v>
      </x:c>
    </x:row>
    <x:row r="132" ht="86" customHeight="1">
      <x:c r="A132" s="4" t="str">
        <x:v>GQ-007</x:v>
      </x:c>
      <x:c r="B132" s="19" t="str">
        <x:v>Pending</x:v>
      </x:c>
      <x:c r="C132" s="20" t="str">
        <x:v>P0</x:v>
      </x:c>
      <x:c r="D132" s="4" t="str">
        <x:v>GoodQuestions</x:v>
      </x:c>
      <x:c r="E132" s="4" t="str">
        <x:v>Asynchronous FIFO</x:v>
      </x:c>
      <x:c r="F132" s="4" t="str">
        <x:v>Gray pointers and blocked requests</x:v>
      </x:c>
      <x:c r="G132" s="4" t="str">
        <x:v>wrclk, rdclk, wrrst, rdrst, wren, rden, din, dout, full, empty</x:v>
      </x:c>
      <x:c r="H132" s="4" t="str">
        <x:v>Observe local binary/Gray pointer pairs through wrap. Hold wren=1 at full and rden=1 at empty.</x:v>
      </x:c>
      <x:c r="I132" s="4" t="str">
        <x:v>Local pointer increments only on accepted operations; Gray equals binary XOR (binary shifted right one). Successive LOCAL Gray values differ in one bit, or zero when holding. Destination samples may skip states and differ in multiple bits.</x:v>
      </x:c>
      <x:c r="J132" s="17"/>
      <x:c r="K132" s="24"/>
      <x:c r="L132" s="17"/>
      <x:c r="M132" s="17"/>
      <x:c r="N132" s="4" t="str">
        <x:v>qa/pdf_q31/q31_async_fifo_grayptr.v</x:v>
      </x:c>
      <x:c r="O132" s="25" t="str">
        <x:v>https://github.com/kapiltrip/GoodQuestions/blob/a83e5a8a5d7262dd223ebbf4af2bf4c8434d9701/qa/pdf_q31/q31_async_fifo_grayptr.v</x:v>
      </x:c>
      <x:c r="P132" s="4" t="str">
        <x:f>IF(B132="Done",IF(OR(J132="",K132="",L132=""),"Add run evidence","Recorded"),IF(OR(B132="Blocked",B132="N/A"),IF(M132="","Add reason","Reason recorded"),""))</x:f>
      </x:c>
      <x:c r="Q132" s="4" t="str">
        <x:v>a83e5a8a5d7262dd223ebbf4af2bf4c8434d9701</x:v>
      </x:c>
    </x:row>
    <x:row r="133" ht="86" customHeight="1">
      <x:c r="A133" s="15" t="str">
        <x:v>GQ-008</x:v>
      </x:c>
      <x:c r="B133" s="19" t="str">
        <x:v>Pending</x:v>
      </x:c>
      <x:c r="C133" s="21" t="str">
        <x:v>P0</x:v>
      </x:c>
      <x:c r="D133" s="15" t="str">
        <x:v>GoodQuestions</x:v>
      </x:c>
      <x:c r="E133" s="15" t="str">
        <x:v>Asynchronous FIFO</x:v>
      </x:c>
      <x:c r="F133" s="15" t="str">
        <x:v>Synchronizer direction and flag latency</x:v>
      </x:c>
      <x:c r="G133" s="15" t="str">
        <x:v>wrclk, rdclk, wrrst, rdrst, wren, rden, din, dout, full, empty</x:v>
      </x:c>
      <x:c r="H133" s="15" t="str">
        <x:v>Apply one remote pointer change while the destination clock runs; trace first and second synchronization stages on each destination edge.</x:v>
      </x:c>
      <x:c r="I133" s="15" t="str">
        <x:v>Stage 1 samples the remote pointer; stage 2 samples previous stage 1. Flags must use stage 2. This variant directly computes flags from next pointers. First test the combinational feedback at empty/full.</x:v>
      </x:c>
      <x:c r="J133" s="17"/>
      <x:c r="K133" s="24"/>
      <x:c r="L133" s="17"/>
      <x:c r="M133" s="17"/>
      <x:c r="N133" s="15" t="str">
        <x:v>qa/pdf_q31/q31_async_fifo_grayptr.v</x:v>
      </x:c>
      <x:c r="O133" s="26" t="str">
        <x:v>https://github.com/kapiltrip/GoodQuestions/blob/a83e5a8a5d7262dd223ebbf4af2bf4c8434d9701/qa/pdf_q31/q31_async_fifo_grayptr.v</x:v>
      </x:c>
      <x:c r="P133" s="15" t="str">
        <x:f>IF(B133="Done",IF(OR(J133="",K133="",L133=""),"Add run evidence","Recorded"),IF(OR(B133="Blocked",B133="N/A"),IF(M133="","Add reason","Reason recorded"),""))</x:f>
      </x:c>
      <x:c r="Q133" s="15" t="str">
        <x:v>a83e5a8a5d7262dd223ebbf4af2bf4c8434d9701</x:v>
      </x:c>
    </x:row>
    <x:row r="134" ht="86" customHeight="1">
      <x:c r="A134" s="4" t="str">
        <x:v>GQ-009</x:v>
      </x:c>
      <x:c r="B134" s="19" t="str">
        <x:v>Pending</x:v>
      </x:c>
      <x:c r="C134" s="4" t="str">
        <x:v>P1</x:v>
      </x:c>
      <x:c r="D134" s="4" t="str">
        <x:v>GoodQuestions</x:v>
      </x:c>
      <x:c r="E134" s="4" t="str">
        <x:v>Asynchronous FIFO</x:v>
      </x:c>
      <x:c r="F134" s="4" t="str">
        <x:v>Clock stop and restart</x:v>
      </x:c>
      <x:c r="G134" s="4" t="str">
        <x:v>wrclk, rdclk, wrrst, rdrst, wren, rden, din, dout, full, empty</x:v>
      </x:c>
      <x:c r="H134" s="4" t="str">
        <x:v>Pause rdclk while writing to full, then resume it; repeat by pausing wrclk during reads.</x:v>
      </x:c>
      <x:c r="I134" s="4" t="str">
        <x:v>No operation occurs without its local clock; flags converge after the stopped clock resumes. Scoreboard order survives the pause.</x:v>
      </x:c>
      <x:c r="J134" s="17"/>
      <x:c r="K134" s="24"/>
      <x:c r="L134" s="17"/>
      <x:c r="M134" s="17"/>
      <x:c r="N134" s="4" t="str">
        <x:v>qa/pdf_q31/q31_async_fifo_grayptr.v</x:v>
      </x:c>
      <x:c r="O134" s="25" t="str">
        <x:v>https://github.com/kapiltrip/GoodQuestions/blob/a83e5a8a5d7262dd223ebbf4af2bf4c8434d9701/qa/pdf_q31/q31_async_fifo_grayptr.v</x:v>
      </x:c>
      <x:c r="P134" s="4" t="str">
        <x:f>IF(B134="Done",IF(OR(J134="",K134="",L134=""),"Add run evidence","Recorded"),IF(OR(B134="Blocked",B134="N/A"),IF(M134="","Add reason","Reason recorded"),""))</x:f>
      </x:c>
      <x:c r="Q134" s="4" t="str">
        <x:v>a83e5a8a5d7262dd223ebbf4af2bf4c8434d9701</x:v>
      </x:c>
    </x:row>
    <x:row r="135" ht="86" customHeight="1">
      <x:c r="A135" s="15" t="str">
        <x:v>GQ-010</x:v>
      </x:c>
      <x:c r="B135" s="19" t="str">
        <x:v>Pending</x:v>
      </x:c>
      <x:c r="C135" s="15" t="str">
        <x:v>P2</x:v>
      </x:c>
      <x:c r="D135" s="15" t="str">
        <x:v>GoodQuestions</x:v>
      </x:c>
      <x:c r="E135" s="15" t="str">
        <x:v>Asynchronous FIFO</x:v>
      </x:c>
      <x:c r="F135" s="15" t="str">
        <x:v>Many laps and random bursts</x:v>
      </x:c>
      <x:c r="G135" s="15" t="str">
        <x:v>wrclk, rdclk, wrrst, rdrst, wren, rden, din, dout, full, empty</x:v>
      </x:c>
      <x:c r="H135" s="15" t="str">
        <x:v>Run at least four complete pointer laps for three recorded seeds and clock ratios. Compare every accepted read with a software reference queue.</x:v>
      </x:c>
      <x:c r="I135" s="15" t="str">
        <x:v>No duplicates, drops or ordering errors. End with both clocks running and fully drain the reference queue.</x:v>
      </x:c>
      <x:c r="J135" s="17"/>
      <x:c r="K135" s="24"/>
      <x:c r="L135" s="17"/>
      <x:c r="M135" s="17"/>
      <x:c r="N135" s="15" t="str">
        <x:v>qa/pdf_q31/q31_async_fifo_grayptr.v</x:v>
      </x:c>
      <x:c r="O135" s="26" t="str">
        <x:v>https://github.com/kapiltrip/GoodQuestions/blob/a83e5a8a5d7262dd223ebbf4af2bf4c8434d9701/qa/pdf_q31/q31_async_fifo_grayptr.v</x:v>
      </x:c>
      <x:c r="P135" s="15" t="str">
        <x:f>IF(B135="Done",IF(OR(J135="",K135="",L135=""),"Add run evidence","Recorded"),IF(OR(B135="Blocked",B135="N/A"),IF(M135="","Add reason","Reason recorded"),""))</x:f>
      </x:c>
      <x:c r="Q135" s="15" t="str">
        <x:v>a83e5a8a5d7262dd223ebbf4af2bf4c8434d9701</x:v>
      </x:c>
    </x:row>
    <x:row r="136" ht="86" customHeight="1">
      <x:c r="A136" s="4" t="str">
        <x:v>GQ-011</x:v>
      </x:c>
      <x:c r="B136" s="19" t="str">
        <x:v>Pending</x:v>
      </x:c>
      <x:c r="C136" s="4" t="str">
        <x:v>P1</x:v>
      </x:c>
      <x:c r="D136" s="4" t="str">
        <x:v>GoodQuestions</x:v>
      </x:c>
      <x:c r="E136" s="4" t="str">
        <x:v>Asynchronous FIFO</x:v>
      </x:c>
      <x:c r="F136" s="4" t="str">
        <x:v>Both resets during traffic</x:v>
      </x:c>
      <x:c r="G136" s="4" t="str">
        <x:v>wrclk, rdclk, wrrst, rdrst, wren, rden, din, dout, full, empty</x:v>
      </x:c>
      <x:c r="H136" s="4" t="str">
        <x:v>Prefill, assert both resets during a burst, flush the expected queue, restart clocks and send a fresh known sequence.</x:v>
      </x:c>
      <x:c r="I136" s="4" t="str">
        <x:v>Reset discards previous queued data; only new writes are considered valid. No assumptions about clearing memory cells.</x:v>
      </x:c>
      <x:c r="J136" s="17"/>
      <x:c r="K136" s="24"/>
      <x:c r="L136" s="17"/>
      <x:c r="M136" s="17"/>
      <x:c r="N136" s="4" t="str">
        <x:v>qa/pdf_q31/q31_async_fifo_grayptr.v</x:v>
      </x:c>
      <x:c r="O136" s="25" t="str">
        <x:v>https://github.com/kapiltrip/GoodQuestions/blob/a83e5a8a5d7262dd223ebbf4af2bf4c8434d9701/qa/pdf_q31/q31_async_fifo_grayptr.v</x:v>
      </x:c>
      <x:c r="P136" s="4" t="str">
        <x:f>IF(B136="Done",IF(OR(J136="",K136="",L136=""),"Add run evidence","Recorded"),IF(OR(B136="Blocked",B136="N/A"),IF(M136="","Add reason","Reason recorded"),""))</x:f>
      </x:c>
      <x:c r="Q136" s="4" t="str">
        <x:v>a83e5a8a5d7262dd223ebbf4af2bf4c8434d9701</x:v>
      </x:c>
    </x:row>
    <x:row r="137" ht="86" customHeight="1">
      <x:c r="A137" s="15" t="str">
        <x:v>GQ-012</x:v>
      </x:c>
      <x:c r="B137" s="23" t="str">
        <x:v>Blocked</x:v>
      </x:c>
      <x:c r="C137" s="15" t="str">
        <x:v>P1</x:v>
      </x:c>
      <x:c r="D137" s="15" t="str">
        <x:v>GoodQuestions</x:v>
      </x:c>
      <x:c r="E137" s="15" t="str">
        <x:v>Asynchronous FIFO</x:v>
      </x:c>
      <x:c r="F137" s="15" t="str">
        <x:v>One-sided reset contract</x:v>
      </x:c>
      <x:c r="G137" s="15" t="str">
        <x:v>wrclk, rdclk, wrrst, rdrst, wren, rden, din, dout, full, empty</x:v>
      </x:c>
      <x:c r="H137" s="15" t="str">
        <x:v>Consider asserting only wrrst, then only rdrst, while data is pending. Define whether the whole FIFO is flushed or one domain may continue before executing.</x:v>
      </x:c>
      <x:c r="I137" s="15" t="str">
        <x:v>Pass criteria require an agreed system reset policy. Current independent pointer resets do not guarantee preservation of unread data after a one-sided reset.</x:v>
      </x:c>
      <x:c r="J137" s="17"/>
      <x:c r="K137" s="24"/>
      <x:c r="L137" s="17"/>
      <x:c r="M137" s="17" t="str">
        <x:v>Resolve reset policy first; never mark data preservation proven by ordinary RTL simulation.</x:v>
      </x:c>
      <x:c r="N137" s="15" t="str">
        <x:v>qa/pdf_q31/q31_async_fifo_grayptr.v</x:v>
      </x:c>
      <x:c r="O137" s="26" t="str">
        <x:v>https://github.com/kapiltrip/GoodQuestions/blob/a83e5a8a5d7262dd223ebbf4af2bf4c8434d9701/qa/pdf_q31/q31_async_fifo_grayptr.v</x:v>
      </x:c>
      <x:c r="P137" s="15" t="str">
        <x:f>IF(B137="Done",IF(OR(J137="",K137="",L137=""),"Add run evidence","Recorded"),IF(OR(B137="Blocked",B137="N/A"),IF(M137="","Add reason","Reason recorded"),""))</x:f>
        <x:v>Reason recorded</x:v>
      </x:c>
      <x:c r="Q137" s="15" t="str">
        <x:v>a83e5a8a5d7262dd223ebbf4af2bf4c8434d9701</x:v>
      </x:c>
    </x:row>
    <x:row r="138" ht="86" customHeight="1">
      <x:c r="A138" s="4" t="str">
        <x:v>GQ-013</x:v>
      </x:c>
      <x:c r="B138" s="19" t="str">
        <x:v>Pending</x:v>
      </x:c>
      <x:c r="C138" s="4" t="str">
        <x:v>P2</x:v>
      </x:c>
      <x:c r="D138" s="4" t="str">
        <x:v>GoodQuestions</x:v>
      </x:c>
      <x:c r="E138" s="4" t="str">
        <x:v>Asynchronous FIFO</x:v>
      </x:c>
      <x:c r="F138" s="4" t="str">
        <x:v>Parameter and minimum-depth limits</x:v>
      </x:c>
      <x:c r="G138" s="4" t="str">
        <x:v>wrclk, rdclk, wrrst, rdrst, wren, rden, din, dout, full, empty</x:v>
      </x:c>
      <x:c r="H138" s="4" t="str">
        <x:v>Elaborate legal data widths 1,8,16 and address widths 2,3,4. Separately try address width 1 and non-power-of-two DEPTH if that parameter exists.</x:v>
      </x:c>
      <x:c r="I138" s="4" t="str">
        <x:v>Supported configurations retain capacity and ordering. Record unsupported values as a documented constraint: slices such as [AW-2:0] or [ADDR-2:0] need special handling below address width 2.</x:v>
      </x:c>
      <x:c r="J138" s="17"/>
      <x:c r="K138" s="24"/>
      <x:c r="L138" s="17"/>
      <x:c r="M138" s="17"/>
      <x:c r="N138" s="4" t="str">
        <x:v>qa/pdf_q31/q31_async_fifo_grayptr.v</x:v>
      </x:c>
      <x:c r="O138" s="25" t="str">
        <x:v>https://github.com/kapiltrip/GoodQuestions/blob/a83e5a8a5d7262dd223ebbf4af2bf4c8434d9701/qa/pdf_q31/q31_async_fifo_grayptr.v</x:v>
      </x:c>
      <x:c r="P138" s="4" t="str">
        <x:f>IF(B138="Done",IF(OR(J138="",K138="",L138=""),"Add run evidence","Recorded"),IF(OR(B138="Blocked",B138="N/A"),IF(M138="","Add reason","Reason recorded"),""))</x:f>
      </x:c>
      <x:c r="Q138" s="4" t="str">
        <x:v>a83e5a8a5d7262dd223ebbf4af2bf4c8434d9701</x:v>
      </x:c>
    </x:row>
    <x:row r="139" ht="86" customHeight="1">
      <x:c r="A139" s="15" t="str">
        <x:v>GQ-014</x:v>
      </x:c>
      <x:c r="B139" s="19" t="str">
        <x:v>Pending</x:v>
      </x:c>
      <x:c r="C139" s="15" t="str">
        <x:v>P2</x:v>
      </x:c>
      <x:c r="D139" s="15" t="str">
        <x:v>GoodQuestions</x:v>
      </x:c>
      <x:c r="E139" s="15" t="str">
        <x:v>Asynchronous FIFO</x:v>
      </x:c>
      <x:c r="F139" s="15" t="str">
        <x:v>CDC implementation review</x:v>
      </x:c>
      <x:c r="G139" s="15" t="str">
        <x:v>wrclk, rdclk, wrrst, rdrst, wren, rden, din, dout, full, empty</x:v>
      </x:c>
      <x:c r="H139" s="15" t="str">
        <x:v>Inspect the synthesized synchronizer paths, reset release, Gray-bus constraints and memory mapping with the target FPGA/ASIC tools.</x:v>
      </x:c>
      <x:c r="I139" s="15" t="str">
        <x:v>A CDC report and reviewed timing constraints are separate evidence. Functional simulation cannot establish metastability reliability or physical Gray-bus skew.</x:v>
      </x:c>
      <x:c r="J139" s="17"/>
      <x:c r="K139" s="24"/>
      <x:c r="L139" s="17"/>
      <x:c r="M139" s="17" t="str">
        <x:v>This is a design-review case, not a Verilog simulation pass.</x:v>
      </x:c>
      <x:c r="N139" s="15" t="str">
        <x:v>qa/pdf_q31/q31_async_fifo_grayptr.v</x:v>
      </x:c>
      <x:c r="O139" s="26" t="str">
        <x:v>https://github.com/kapiltrip/GoodQuestions/blob/a83e5a8a5d7262dd223ebbf4af2bf4c8434d9701/qa/pdf_q31/q31_async_fifo_grayptr.v</x:v>
      </x:c>
      <x:c r="P139" s="15" t="str">
        <x:f>IF(B139="Done",IF(OR(J139="",K139="",L139=""),"Add run evidence","Recorded"),IF(OR(B139="Blocked",B139="N/A"),IF(M139="","Add reason","Reason recorded"),""))</x:f>
      </x:c>
      <x:c r="Q139" s="15" t="str">
        <x:v>a83e5a8a5d7262dd223ebbf4af2bf4c8434d9701</x:v>
      </x:c>
    </x:row>
    <x:row r="140" ht="86" customHeight="1">
      <x:c r="A140" s="4" t="str">
        <x:v>GQ-015</x:v>
      </x:c>
      <x:c r="B140" s="19" t="str">
        <x:v>Pending</x:v>
      </x:c>
      <x:c r="C140" s="20" t="str">
        <x:v>P0</x:v>
      </x:c>
      <x:c r="D140" s="4" t="str">
        <x:v>GoodQuestions</x:v>
      </x:c>
      <x:c r="E140" s="4" t="str">
        <x:v>Asynchronous FIFO</x:v>
      </x:c>
      <x:c r="F140" s="4" t="str">
        <x:v>Flag combinational-loop boundary check</x:v>
      </x:c>
      <x:c r="G140" s="4" t="str">
        <x:v>rden, wren, empty, full, rdptrbin_next, wrptrbin_next, rdptrgray_next, wrptrgray_next</x:v>
      </x:c>
      <x:c r="H140" s="4" t="str">
        <x:v>At empty assert rden; near full assert wren. Run with a finite simulator watchdog and inspect the combinational dependency path.</x:v>
      </x:c>
      <x:c r="I140" s="4" t="str">
        <x:v>Flags must settle to a definite value before an edge. Here empty/full depend on next pointers, which themselves depend on empty/full; record oscillation/non-settling or a lint combinational-loop finding as failure.</x:v>
      </x:c>
      <x:c r="J140" s="17"/>
      <x:c r="K140" s="24"/>
      <x:c r="L140" s="17"/>
      <x:c r="M140" s="17" t="str">
        <x:v>Source indicates circular flag logic; do not assume the same behavior as AsynchronousFifo/async_fifo.v.</x:v>
      </x:c>
      <x:c r="N140" s="4" t="str">
        <x:v>qa/pdf_q31/q31_async_fifo_grayptr.v</x:v>
      </x:c>
      <x:c r="O140" s="25" t="str">
        <x:v>https://github.com/kapiltrip/GoodQuestions/blob/a83e5a8a5d7262dd223ebbf4af2bf4c8434d9701/qa/pdf_q31/q31_async_fifo_grayptr.v</x:v>
      </x:c>
      <x:c r="P140" s="4" t="str">
        <x:f>IF(B140="Done",IF(OR(J140="",K140="",L140=""),"Add run evidence","Recorded"),IF(OR(B140="Blocked",B140="N/A"),IF(M140="","Add reason","Reason recorded"),""))</x:f>
      </x:c>
      <x:c r="Q140" s="4" t="str">
        <x:v>a83e5a8a5d7262dd223ebbf4af2bf4c8434d9701</x:v>
      </x:c>
    </x:row>
    <x:row r="141" ht="86" customHeight="1">
      <x:c r="A141" s="15" t="str">
        <x:v>UART-013</x:v>
      </x:c>
      <x:c r="B141" s="19" t="str">
        <x:v>Pending</x:v>
      </x:c>
      <x:c r="C141" s="21" t="str">
        <x:v>P0</x:v>
      </x:c>
      <x:c r="D141" s="15" t="str">
        <x:v>UART-</x:v>
      </x:c>
      <x:c r="E141" s="15" t="str">
        <x:v>Baud generator</x:v>
      </x:c>
      <x:c r="F141" s="15" t="str">
        <x:v>Reset polarity and initial enables</x:v>
      </x:c>
      <x:c r="G141" s="15" t="str">
        <x:v>clk, reset, tx_en, rx_en</x:v>
      </x:c>
      <x:c r="H141" s="15" t="str">
        <x:v>Assert reset=1 across rising clk edges; inspect the counters and both enables before releasing reset.</x:v>
      </x:c>
      <x:c r="I141" s="15" t="str">
        <x:v>Counters and registered tx_en/rx_en reset to 0. No enable pulse is emitted while reset is active.</x:v>
      </x:c>
      <x:c r="J141" s="17"/>
      <x:c r="K141" s="24"/>
      <x:c r="L141" s="17"/>
      <x:c r="M141" s="17"/>
      <x:c r="N141" s="15" t="str">
        <x:v>rtlCode/baud_rate_generator.v</x:v>
      </x:c>
      <x:c r="O141" s="26" t="str">
        <x:v>https://github.com/kapiltrip/UART-/blob/5f65f99cf43ed317f18874503046f994d5038c65/rtlCode/baud_rate_generator.v</x:v>
      </x:c>
      <x:c r="P141" s="15" t="str">
        <x:f>IF(B141="Done",IF(OR(J141="",K141="",L141=""),"Add run evidence","Recorded"),IF(OR(B141="Blocked",B141="N/A"),IF(M141="","Add reason","Reason recorded"),""))</x:f>
      </x:c>
      <x:c r="Q141" s="15" t="str">
        <x:v>5f65f99cf43ed317f18874503046f994d5038c65</x:v>
      </x:c>
    </x:row>
    <x:row r="142" ht="86" customHeight="1">
      <x:c r="A142" s="4" t="str">
        <x:v>UART-014</x:v>
      </x:c>
      <x:c r="B142" s="19" t="str">
        <x:v>Pending</x:v>
      </x:c>
      <x:c r="C142" s="20" t="str">
        <x:v>P0</x:v>
      </x:c>
      <x:c r="D142" s="4" t="str">
        <x:v>UART-</x:v>
      </x:c>
      <x:c r="E142" s="4" t="str">
        <x:v>Baud generator</x:v>
      </x:c>
      <x:c r="F142" s="4" t="str">
        <x:v>Exact tick interval</x:v>
      </x:c>
      <x:c r="G142" s="4" t="str">
        <x:v>clk, reset, tx_en, rx_en</x:v>
      </x:c>
      <x:c r="H142" s="4" t="str">
        <x:v>Count clk edges between at least ten tx_en pulses and ten rx_en pulses after reset.</x:v>
      </x:c>
      <x:c r="I142" s="4" t="str">
        <x:v>Periods are TX_DIV=5208 clocks and RX_DIV=325 clocks. Each pulse is one clk period at these defaults.</x:v>
      </x:c>
      <x:c r="J142" s="17"/>
      <x:c r="K142" s="24"/>
      <x:c r="L142" s="17"/>
      <x:c r="M142" s="17"/>
      <x:c r="N142" s="4" t="str">
        <x:v>rtlCode/baud_rate_generator.v</x:v>
      </x:c>
      <x:c r="O142" s="25" t="str">
        <x:v>https://github.com/kapiltrip/UART-/blob/5f65f99cf43ed317f18874503046f994d5038c65/rtlCode/baud_rate_generator.v</x:v>
      </x:c>
      <x:c r="P142" s="4" t="str">
        <x:f>IF(B142="Done",IF(OR(J142="",K142="",L142=""),"Add run evidence","Recorded"),IF(OR(B142="Blocked",B142="N/A"),IF(M142="","Add reason","Reason recorded"),""))</x:f>
      </x:c>
      <x:c r="Q142" s="4" t="str">
        <x:v>5f65f99cf43ed317f18874503046f994d5038c65</x:v>
      </x:c>
    </x:row>
    <x:row r="143" ht="86" customHeight="1">
      <x:c r="A143" s="15" t="str">
        <x:v>UART-015</x:v>
      </x:c>
      <x:c r="B143" s="19" t="str">
        <x:v>Pending</x:v>
      </x:c>
      <x:c r="C143" s="15" t="str">
        <x:v>P2</x:v>
      </x:c>
      <x:c r="D143" s="15" t="str">
        <x:v>UART-</x:v>
      </x:c>
      <x:c r="E143" s="15" t="str">
        <x:v>Baud generator</x:v>
      </x:c>
      <x:c r="F143" s="15" t="str">
        <x:v>Divisor corners and restart</x:v>
      </x:c>
      <x:c r="G143" s="15" t="str">
        <x:v>clk, reset, tx_en, rx_en</x:v>
      </x:c>
      <x:c r="H143" s="15" t="str">
        <x:v>Repeat with small legal terminal values/divisors, reset midway through counting, and measure the restarted interval.</x:v>
      </x:c>
      <x:c r="I143" s="15" t="str">
        <x:v>Counter widths limit the supported range. Current UART: TX_DIV 1..8192 and RX_DIV 1..1024; DIV=1 makes enable continuously high. Legacy: maximum terminal counts 8191 and 1023; zero makes enable continuously high. Do not silently truncate unsupported overrides.</x:v>
      </x:c>
      <x:c r="J143" s="17"/>
      <x:c r="K143" s="24"/>
      <x:c r="L143" s="17"/>
      <x:c r="M143" s="17"/>
      <x:c r="N143" s="15" t="str">
        <x:v>rtlCode/baud_rate_generator.v</x:v>
      </x:c>
      <x:c r="O143" s="26" t="str">
        <x:v>https://github.com/kapiltrip/UART-/blob/5f65f99cf43ed317f18874503046f994d5038c65/rtlCode/baud_rate_generator.v</x:v>
      </x:c>
      <x:c r="P143" s="15" t="str">
        <x:f>IF(B143="Done",IF(OR(J143="",K143="",L143=""),"Add run evidence","Recorded"),IF(OR(B143="Blocked",B143="N/A"),IF(M143="","Add reason","Reason recorded"),""))</x:f>
      </x:c>
      <x:c r="Q143" s="15" t="str">
        <x:v>5f65f99cf43ed317f18874503046f994d5038c65</x:v>
      </x:c>
    </x:row>
    <x:row r="144" ht="86" customHeight="1">
      <x:c r="A144" s="4" t="str">
        <x:v>UART-016</x:v>
      </x:c>
      <x:c r="B144" s="19" t="str">
        <x:v>Pending</x:v>
      </x:c>
      <x:c r="C144" s="4" t="str">
        <x:v>P1</x:v>
      </x:c>
      <x:c r="D144" s="4" t="str">
        <x:v>UART-</x:v>
      </x:c>
      <x:c r="E144" s="4" t="str">
        <x:v>Baud generator</x:v>
      </x:c>
      <x:c r="F144" s="4" t="str">
        <x:v>TX/RX rate ratio</x:v>
      </x:c>
      <x:c r="G144" s="4" t="str">
        <x:v>clk, tx_en, rx_en</x:v>
      </x:c>
      <x:c r="H144" s="4" t="str">
        <x:v>Measure serial-bit duration and receiver sample spacing with the actual defaults, then use a small exact 16:1 setup in isolated tests.</x:v>
      </x:c>
      <x:c r="I144" s="4" t="str">
        <x:v>Default tick ratios are close to, but not exactly, 16:1. Evaluate complete frames and phase variation; do not assume the parameter names represent the same terminal-count convention.</x:v>
      </x:c>
      <x:c r="J144" s="17"/>
      <x:c r="K144" s="24"/>
      <x:c r="L144" s="17"/>
      <x:c r="M144" s="17"/>
      <x:c r="N144" s="4" t="str">
        <x:v>rtlCode/baud_rate_generator.v</x:v>
      </x:c>
      <x:c r="O144" s="25" t="str">
        <x:v>https://github.com/kapiltrip/UART-/blob/5f65f99cf43ed317f18874503046f994d5038c65/rtlCode/baud_rate_generator.v</x:v>
      </x:c>
      <x:c r="P144" s="4" t="str">
        <x:f>IF(B144="Done",IF(OR(J144="",K144="",L144=""),"Add run evidence","Recorded"),IF(OR(B144="Blocked",B144="N/A"),IF(M144="","Add reason","Reason recorded"),""))</x:f>
      </x:c>
      <x:c r="Q144" s="4" t="str">
        <x:v>5f65f99cf43ed317f18874503046f994d5038c65</x:v>
      </x:c>
    </x:row>
    <x:row r="145" ht="86" customHeight="1">
      <x:c r="A145" s="15" t="str">
        <x:v>UART-017</x:v>
      </x:c>
      <x:c r="B145" s="19" t="str">
        <x:v>Pending</x:v>
      </x:c>
      <x:c r="C145" s="21" t="str">
        <x:v>P0</x:v>
      </x:c>
      <x:c r="D145" s="15" t="str">
        <x:v>UART-</x:v>
      </x:c>
      <x:c r="E145" s="15" t="str">
        <x:v>UART transmitter</x:v>
      </x:c>
      <x:c r="F145" s="15" t="str">
        <x:v>Reset and idle level</x:v>
      </x:c>
      <x:c r="G145" s="15" t="str">
        <x:v>clk, rst, wr_en, data_in, tx_en, tx, busy</x:v>
      </x:c>
      <x:c r="H145" s="15" t="str">
        <x:v>Assert rst; release with wr_en=0. Run several tx_en pulses.</x:v>
      </x:c>
      <x:c r="I145" s="15" t="str">
        <x:v>After reset tx=1 and busy=0. Idle remains high.</x:v>
      </x:c>
      <x:c r="J145" s="17"/>
      <x:c r="K145" s="24"/>
      <x:c r="L145" s="17"/>
      <x:c r="M145" s="17"/>
      <x:c r="N145" s="15" t="str">
        <x:v>rtlCode/uart_sender.v</x:v>
      </x:c>
      <x:c r="O145" s="26" t="str">
        <x:v>https://github.com/kapiltrip/UART-/blob/5f65f99cf43ed317f18874503046f994d5038c65/rtlCode/uart_sender.v</x:v>
      </x:c>
      <x:c r="P145" s="15" t="str">
        <x:f>IF(B145="Done",IF(OR(J145="",K145="",L145=""),"Add run evidence","Recorded"),IF(OR(B145="Blocked",B145="N/A"),IF(M145="","Add reason","Reason recorded"),""))</x:f>
      </x:c>
      <x:c r="Q145" s="15" t="str">
        <x:v>5f65f99cf43ed317f18874503046f994d5038c65</x:v>
      </x:c>
    </x:row>
    <x:row r="146" ht="86" customHeight="1">
      <x:c r="A146" s="4" t="str">
        <x:v>UART-018</x:v>
      </x:c>
      <x:c r="B146" s="19" t="str">
        <x:v>Pending</x:v>
      </x:c>
      <x:c r="C146" s="20" t="str">
        <x:v>P0</x:v>
      </x:c>
      <x:c r="D146" s="4" t="str">
        <x:v>UART-</x:v>
      </x:c>
      <x:c r="E146" s="4" t="str">
        <x:v>UART transmitter</x:v>
      </x:c>
      <x:c r="F146" s="4" t="str">
        <x:v>8N1 frame and bit order</x:v>
      </x:c>
      <x:c r="G146" s="4" t="str">
        <x:v>clk, rst, wr_en, data_in, tx_en, tx, busy</x:v>
      </x:c>
      <x:c r="H146" s="4" t="str">
        <x:v>Pulse wr_en for one clk with data_in=A5 while busy=0. Supply regular tx_en ticks and record tx at each tick.</x:v>
      </x:c>
      <x:c r="I146" s="4" t="str">
        <x:v>Frame is start 0, data bits 1,0,1,0,0,1,0,1 (LSB first), then stop 1. busy rises on the accepted request and falls when stop is launched.</x:v>
      </x:c>
      <x:c r="J146" s="17"/>
      <x:c r="K146" s="24"/>
      <x:c r="L146" s="17"/>
      <x:c r="M146" s="17"/>
      <x:c r="N146" s="4" t="str">
        <x:v>rtlCode/uart_sender.v</x:v>
      </x:c>
      <x:c r="O146" s="25" t="str">
        <x:v>https://github.com/kapiltrip/UART-/blob/5f65f99cf43ed317f18874503046f994d5038c65/rtlCode/uart_sender.v</x:v>
      </x:c>
      <x:c r="P146" s="4" t="str">
        <x:f>IF(B146="Done",IF(OR(J146="",K146="",L146=""),"Add run evidence","Recorded"),IF(OR(B146="Blocked",B146="N/A"),IF(M146="","Add reason","Reason recorded"),""))</x:f>
      </x:c>
      <x:c r="Q146" s="4" t="str">
        <x:v>5f65f99cf43ed317f18874503046f994d5038c65</x:v>
      </x:c>
    </x:row>
    <x:row r="147" ht="86" customHeight="1">
      <x:c r="A147" s="15" t="str">
        <x:v>UART-019</x:v>
      </x:c>
      <x:c r="B147" s="19" t="str">
        <x:v>Pending</x:v>
      </x:c>
      <x:c r="C147" s="15" t="str">
        <x:v>P1</x:v>
      </x:c>
      <x:c r="D147" s="15" t="str">
        <x:v>UART-</x:v>
      </x:c>
      <x:c r="E147" s="15" t="str">
        <x:v>UART transmitter</x:v>
      </x:c>
      <x:c r="F147" s="15" t="str">
        <x:v>Byte patterns and all values</x:v>
      </x:c>
      <x:c r="G147" s="15" t="str">
        <x:v>clk, wr_en, data_in, tx_en, tx, busy</x:v>
      </x:c>
      <x:c r="H147" s="15" t="str">
        <x:v>Send 00,FF,55,AA,01,80 then all 256 byte values. Decode the serial line independently.</x:v>
      </x:c>
      <x:c r="I147" s="15" t="str">
        <x:v>Every decoded byte equals the accepted data_in; exactly eight data bits plus start/stop are emitted.</x:v>
      </x:c>
      <x:c r="J147" s="17"/>
      <x:c r="K147" s="24"/>
      <x:c r="L147" s="17"/>
      <x:c r="M147" s="17"/>
      <x:c r="N147" s="15" t="str">
        <x:v>rtlCode/uart_sender.v</x:v>
      </x:c>
      <x:c r="O147" s="26" t="str">
        <x:v>https://github.com/kapiltrip/UART-/blob/5f65f99cf43ed317f18874503046f994d5038c65/rtlCode/uart_sender.v</x:v>
      </x:c>
      <x:c r="P147" s="15" t="str">
        <x:f>IF(B147="Done",IF(OR(J147="",K147="",L147=""),"Add run evidence","Recorded"),IF(OR(B147="Blocked",B147="N/A"),IF(M147="","Add reason","Reason recorded"),""))</x:f>
      </x:c>
      <x:c r="Q147" s="15" t="str">
        <x:v>5f65f99cf43ed317f18874503046f994d5038c65</x:v>
      </x:c>
    </x:row>
    <x:row r="148" ht="86" customHeight="1">
      <x:c r="A148" s="4" t="str">
        <x:v>UART-020</x:v>
      </x:c>
      <x:c r="B148" s="19" t="str">
        <x:v>Pending</x:v>
      </x:c>
      <x:c r="C148" s="20" t="str">
        <x:v>P0</x:v>
      </x:c>
      <x:c r="D148" s="4" t="str">
        <x:v>UART-</x:v>
      </x:c>
      <x:c r="E148" s="4" t="str">
        <x:v>UART transmitter</x:v>
      </x:c>
      <x:c r="F148" s="4" t="str">
        <x:v>Latched input data</x:v>
      </x:c>
      <x:c r="G148" s="4" t="str">
        <x:v>clk, wr_en, data_in, tx_en, tx, busy</x:v>
      </x:c>
      <x:c r="H148" s="4" t="str">
        <x:v>Accept 3C, then change data_in every clk while busy=1.</x:v>
      </x:c>
      <x:c r="I148" s="4" t="str">
        <x:v>The current frame remains 3C; the input is latched at request acceptance.</x:v>
      </x:c>
      <x:c r="J148" s="17"/>
      <x:c r="K148" s="24"/>
      <x:c r="L148" s="17"/>
      <x:c r="M148" s="17"/>
      <x:c r="N148" s="4" t="str">
        <x:v>rtlCode/uart_sender.v</x:v>
      </x:c>
      <x:c r="O148" s="25" t="str">
        <x:v>https://github.com/kapiltrip/UART-/blob/5f65f99cf43ed317f18874503046f994d5038c65/rtlCode/uart_sender.v</x:v>
      </x:c>
      <x:c r="P148" s="4" t="str">
        <x:f>IF(B148="Done",IF(OR(J148="",K148="",L148=""),"Add run evidence","Recorded"),IF(OR(B148="Blocked",B148="N/A"),IF(M148="","Add reason","Reason recorded"),""))</x:f>
      </x:c>
      <x:c r="Q148" s="4" t="str">
        <x:v>5f65f99cf43ed317f18874503046f994d5038c65</x:v>
      </x:c>
    </x:row>
    <x:row r="149" ht="86" customHeight="1">
      <x:c r="A149" s="15" t="str">
        <x:v>UART-021</x:v>
      </x:c>
      <x:c r="B149" s="19" t="str">
        <x:v>Pending</x:v>
      </x:c>
      <x:c r="C149" s="15" t="str">
        <x:v>P1</x:v>
      </x:c>
      <x:c r="D149" s="15" t="str">
        <x:v>UART-</x:v>
      </x:c>
      <x:c r="E149" s="15" t="str">
        <x:v>UART transmitter</x:v>
      </x:c>
      <x:c r="F149" s="15" t="str">
        <x:v>Write request while busy</x:v>
      </x:c>
      <x:c r="G149" s="15" t="str">
        <x:v>clk, wr_en, data_in, tx_en, tx, busy</x:v>
      </x:c>
      <x:c r="H149" s="15" t="str">
        <x:v>Pulse wr_en in START, each DATA position and STOP while busy=1. Then repeat with wr_en held until the next idle cycle.</x:v>
      </x:c>
      <x:c r="I149" s="15" t="str">
        <x:v>Pulses entirely while busy are ignored by this transmitter. A held request can be accepted in IDLE and send another byte; it is not a one-shot interface.</x:v>
      </x:c>
      <x:c r="J149" s="17"/>
      <x:c r="K149" s="24"/>
      <x:c r="L149" s="17"/>
      <x:c r="M149" s="17"/>
      <x:c r="N149" s="15" t="str">
        <x:v>rtlCode/uart_sender.v</x:v>
      </x:c>
      <x:c r="O149" s="26" t="str">
        <x:v>https://github.com/kapiltrip/UART-/blob/5f65f99cf43ed317f18874503046f994d5038c65/rtlCode/uart_sender.v</x:v>
      </x:c>
      <x:c r="P149" s="15" t="str">
        <x:f>IF(B149="Done",IF(OR(J149="",K149="",L149=""),"Add run evidence","Recorded"),IF(OR(B149="Blocked",B149="N/A"),IF(M149="","Add reason","Reason recorded"),""))</x:f>
      </x:c>
      <x:c r="Q149" s="15" t="str">
        <x:v>5f65f99cf43ed317f18874503046f994d5038c65</x:v>
      </x:c>
    </x:row>
    <x:row r="150" ht="86" customHeight="1">
      <x:c r="A150" s="4" t="str">
        <x:v>UART-022</x:v>
      </x:c>
      <x:c r="B150" s="19" t="str">
        <x:v>Pending</x:v>
      </x:c>
      <x:c r="C150" s="4" t="str">
        <x:v>P1</x:v>
      </x:c>
      <x:c r="D150" s="4" t="str">
        <x:v>UART-</x:v>
      </x:c>
      <x:c r="E150" s="4" t="str">
        <x:v>UART transmitter</x:v>
      </x:c>
      <x:c r="F150" s="4" t="str">
        <x:v>Missing enable ticks</x:v>
      </x:c>
      <x:c r="G150" s="4" t="str">
        <x:v>clk, wr_en, tx_en, tx, busy</x:v>
      </x:c>
      <x:c r="H150" s="4" t="str">
        <x:v>Pause tx_en in START, DATA and STOP for several clk periods, then resume.</x:v>
      </x:c>
      <x:c r="I150" s="4" t="str">
        <x:v>Frame state/bit position holds while waiting; tx and busy do not advance to the next serial bit without tx_en.</x:v>
      </x:c>
      <x:c r="J150" s="17"/>
      <x:c r="K150" s="24"/>
      <x:c r="L150" s="17"/>
      <x:c r="M150" s="17"/>
      <x:c r="N150" s="4" t="str">
        <x:v>rtlCode/uart_sender.v</x:v>
      </x:c>
      <x:c r="O150" s="25" t="str">
        <x:v>https://github.com/kapiltrip/UART-/blob/5f65f99cf43ed317f18874503046f994d5038c65/rtlCode/uart_sender.v</x:v>
      </x:c>
      <x:c r="P150" s="4" t="str">
        <x:f>IF(B150="Done",IF(OR(J150="",K150="",L150=""),"Add run evidence","Recorded"),IF(OR(B150="Blocked",B150="N/A"),IF(M150="","Add reason","Reason recorded"),""))</x:f>
      </x:c>
      <x:c r="Q150" s="4" t="str">
        <x:v>5f65f99cf43ed317f18874503046f994d5038c65</x:v>
      </x:c>
    </x:row>
    <x:row r="151" ht="86" customHeight="1">
      <x:c r="A151" s="15" t="str">
        <x:v>UART-023</x:v>
      </x:c>
      <x:c r="B151" s="19" t="str">
        <x:v>Pending</x:v>
      </x:c>
      <x:c r="C151" s="15" t="str">
        <x:v>P1</x:v>
      </x:c>
      <x:c r="D151" s="15" t="str">
        <x:v>UART-</x:v>
      </x:c>
      <x:c r="E151" s="15" t="str">
        <x:v>UART transmitter</x:v>
      </x:c>
      <x:c r="F151" s="15" t="str">
        <x:v>Reset mid-frame and recovery</x:v>
      </x:c>
      <x:c r="G151" s="15" t="str">
        <x:v>clk, rst, wr_en, data_in, tx_en, tx, busy</x:v>
      </x:c>
      <x:c r="H151" s="15" t="str">
        <x:v>Reset during start, a data bit and stop; release and transmit a fresh byte.</x:v>
      </x:c>
      <x:c r="I151" s="15" t="str">
        <x:v>Reset aborts the partial frame, restores idle-high tx and clears busy. A new request produces a complete fresh frame.</x:v>
      </x:c>
      <x:c r="J151" s="17"/>
      <x:c r="K151" s="24"/>
      <x:c r="L151" s="17"/>
      <x:c r="M151" s="17"/>
      <x:c r="N151" s="15" t="str">
        <x:v>rtlCode/uart_sender.v</x:v>
      </x:c>
      <x:c r="O151" s="26" t="str">
        <x:v>https://github.com/kapiltrip/UART-/blob/5f65f99cf43ed317f18874503046f994d5038c65/rtlCode/uart_sender.v</x:v>
      </x:c>
      <x:c r="P151" s="15" t="str">
        <x:f>IF(B151="Done",IF(OR(J151="",K151="",L151=""),"Add run evidence","Recorded"),IF(OR(B151="Blocked",B151="N/A"),IF(M151="","Add reason","Reason recorded"),""))</x:f>
      </x:c>
      <x:c r="Q151" s="15" t="str">
        <x:v>5f65f99cf43ed317f18874503046f994d5038c65</x:v>
      </x:c>
    </x:row>
    <x:row r="152" ht="86" customHeight="1">
      <x:c r="A152" s="4" t="str">
        <x:v>UART-024</x:v>
      </x:c>
      <x:c r="B152" s="19" t="str">
        <x:v>Pending</x:v>
      </x:c>
      <x:c r="C152" s="4" t="str">
        <x:v>P1</x:v>
      </x:c>
      <x:c r="D152" s="4" t="str">
        <x:v>UART-</x:v>
      </x:c>
      <x:c r="E152" s="4" t="str">
        <x:v>UART transmitter</x:v>
      </x:c>
      <x:c r="F152" s="4" t="str">
        <x:v>Stop-bit duration before next frame</x:v>
      </x:c>
      <x:c r="G152" s="4" t="str">
        <x:v>clk, wr_en, data_in, tx_en, tx, busy</x:v>
      </x:c>
      <x:c r="H152" s="4" t="str">
        <x:v>Submit the next byte at the earliest idle clk after busy falls; measure tx until the next start bit.</x:v>
      </x:c>
      <x:c r="I152" s="4" t="str">
        <x:v>The stop interval remains a full baud-tick interval even though busy drops when stop is launched. Check timing from tx transitions rather than busy alone.</x:v>
      </x:c>
      <x:c r="J152" s="17"/>
      <x:c r="K152" s="24"/>
      <x:c r="L152" s="17"/>
      <x:c r="M152" s="17"/>
      <x:c r="N152" s="4" t="str">
        <x:v>rtlCode/uart_sender.v</x:v>
      </x:c>
      <x:c r="O152" s="25" t="str">
        <x:v>https://github.com/kapiltrip/UART-/blob/5f65f99cf43ed317f18874503046f994d5038c65/rtlCode/uart_sender.v</x:v>
      </x:c>
      <x:c r="P152" s="4" t="str">
        <x:f>IF(B152="Done",IF(OR(J152="",K152="",L152=""),"Add run evidence","Recorded"),IF(OR(B152="Blocked",B152="N/A"),IF(M152="","Add reason","Reason recorded"),""))</x:f>
      </x:c>
      <x:c r="Q152" s="4" t="str">
        <x:v>5f65f99cf43ed317f18874503046f994d5038c65</x:v>
      </x:c>
    </x:row>
    <x:row r="153" ht="86" customHeight="1">
      <x:c r="A153" s="15" t="str">
        <x:v>UART-025</x:v>
      </x:c>
      <x:c r="B153" s="19" t="str">
        <x:v>Pending</x:v>
      </x:c>
      <x:c r="C153" s="21" t="str">
        <x:v>P0</x:v>
      </x:c>
      <x:c r="D153" s="15" t="str">
        <x:v>UART-</x:v>
      </x:c>
      <x:c r="E153" s="15" t="str">
        <x:v>UART receiver</x:v>
      </x:c>
      <x:c r="F153" s="15" t="str">
        <x:v>Reset and idle-high input</x:v>
      </x:c>
      <x:c r="G153" s="15" t="str">
        <x:v>clk, rst, rx, rx_en, rdy_clr, rdy, data_out</x:v>
      </x:c>
      <x:c r="H153" s="15" t="str">
        <x:v>Assert rst, then release with rx=1, rdy_clr=0 and periodic rx_en.</x:v>
      </x:c>
      <x:c r="I153" s="15" t="str">
        <x:v>rdy=0 and data_out=0 after reset; idle-high rx must not create a receive event.</x:v>
      </x:c>
      <x:c r="J153" s="17"/>
      <x:c r="K153" s="24"/>
      <x:c r="L153" s="17"/>
      <x:c r="M153" s="17"/>
      <x:c r="N153" s="15" t="str">
        <x:v>rtlCode/uart_receiver.v</x:v>
      </x:c>
      <x:c r="O153" s="26" t="str">
        <x:v>https://github.com/kapiltrip/UART-/blob/5f65f99cf43ed317f18874503046f994d5038c65/rtlCode/uart_receiver.v</x:v>
      </x:c>
      <x:c r="P153" s="15" t="str">
        <x:f>IF(B153="Done",IF(OR(J153="",K153="",L153=""),"Add run evidence","Recorded"),IF(OR(B153="Blocked",B153="N/A"),IF(M153="","Add reason","Reason recorded"),""))</x:f>
      </x:c>
      <x:c r="Q153" s="15" t="str">
        <x:v>5f65f99cf43ed317f18874503046f994d5038c65</x:v>
      </x:c>
    </x:row>
    <x:row r="154" ht="86" customHeight="1">
      <x:c r="A154" s="4" t="str">
        <x:v>UART-026</x:v>
      </x:c>
      <x:c r="B154" s="19" t="str">
        <x:v>Pending</x:v>
      </x:c>
      <x:c r="C154" s="20" t="str">
        <x:v>P0</x:v>
      </x:c>
      <x:c r="D154" s="4" t="str">
        <x:v>UART-</x:v>
      </x:c>
      <x:c r="E154" s="4" t="str">
        <x:v>UART receiver</x:v>
      </x:c>
      <x:c r="F154" s="4" t="str">
        <x:v>Receive 8N1 independently</x:v>
      </x:c>
      <x:c r="G154" s="4" t="str">
        <x:v>clk, rx, rx_en, rdy_clr, rdy, data_out</x:v>
      </x:c>
      <x:c r="H154" s="4" t="str">
        <x:v>Drive rx from an independent serial source: start 0, eight LSB-first bits for A5, stop 1. Use 16 rx_en samples per bit.</x:v>
      </x:c>
      <x:c r="I154" s="4" t="str">
        <x:v>One completed frame sets data_out=A5 and rdy=1. Check after the stop sampling edge and nonblocking updates.</x:v>
      </x:c>
      <x:c r="J154" s="17"/>
      <x:c r="K154" s="24"/>
      <x:c r="L154" s="17"/>
      <x:c r="M154" s="17"/>
      <x:c r="N154" s="4" t="str">
        <x:v>rtlCode/uart_receiver.v</x:v>
      </x:c>
      <x:c r="O154" s="25" t="str">
        <x:v>https://github.com/kapiltrip/UART-/blob/5f65f99cf43ed317f18874503046f994d5038c65/rtlCode/uart_receiver.v</x:v>
      </x:c>
      <x:c r="P154" s="4" t="str">
        <x:f>IF(B154="Done",IF(OR(J154="",K154="",L154=""),"Add run evidence","Recorded"),IF(OR(B154="Blocked",B154="N/A"),IF(M154="","Add reason","Reason recorded"),""))</x:f>
      </x:c>
      <x:c r="Q154" s="4" t="str">
        <x:v>5f65f99cf43ed317f18874503046f994d5038c65</x:v>
      </x:c>
    </x:row>
    <x:row r="155" ht="86" customHeight="1">
      <x:c r="A155" s="15" t="str">
        <x:v>UART-027</x:v>
      </x:c>
      <x:c r="B155" s="19" t="str">
        <x:v>Pending</x:v>
      </x:c>
      <x:c r="C155" s="15" t="str">
        <x:v>P1</x:v>
      </x:c>
      <x:c r="D155" s="15" t="str">
        <x:v>UART-</x:v>
      </x:c>
      <x:c r="E155" s="15" t="str">
        <x:v>UART receiver</x:v>
      </x:c>
      <x:c r="F155" s="15" t="str">
        <x:v>Reject a false start</x:v>
      </x:c>
      <x:c r="G155" s="15" t="str">
        <x:v>clk, rx, rx_en, rdy, data_out</x:v>
      </x:c>
      <x:c r="H155" s="15" t="str">
        <x:v>Drive a short low pulse that is high again by the middle-of-start validation sample, then a valid frame.</x:v>
      </x:c>
      <x:c r="I155" s="15" t="str">
        <x:v>No byte is reported for the glitch. The next valid frame is received normally.</x:v>
      </x:c>
      <x:c r="J155" s="17"/>
      <x:c r="K155" s="24"/>
      <x:c r="L155" s="17"/>
      <x:c r="M155" s="17"/>
      <x:c r="N155" s="15" t="str">
        <x:v>rtlCode/uart_receiver.v</x:v>
      </x:c>
      <x:c r="O155" s="26" t="str">
        <x:v>https://github.com/kapiltrip/UART-/blob/5f65f99cf43ed317f18874503046f994d5038c65/rtlCode/uart_receiver.v</x:v>
      </x:c>
      <x:c r="P155" s="15" t="str">
        <x:f>IF(B155="Done",IF(OR(J155="",K155="",L155=""),"Add run evidence","Recorded"),IF(OR(B155="Blocked",B155="N/A"),IF(M155="","Add reason","Reason recorded"),""))</x:f>
      </x:c>
      <x:c r="Q155" s="15" t="str">
        <x:v>5f65f99cf43ed317f18874503046f994d5038c65</x:v>
      </x:c>
    </x:row>
    <x:row r="156" ht="86" customHeight="1">
      <x:c r="A156" s="4" t="str">
        <x:v>UART-028</x:v>
      </x:c>
      <x:c r="B156" s="19" t="str">
        <x:v>Pending</x:v>
      </x:c>
      <x:c r="C156" s="20" t="str">
        <x:v>P0</x:v>
      </x:c>
      <x:c r="D156" s="4" t="str">
        <x:v>UART-</x:v>
      </x:c>
      <x:c r="E156" s="4" t="str">
        <x:v>UART receiver</x:v>
      </x:c>
      <x:c r="F156" s="4" t="str">
        <x:v>Stop-bit error behavior</x:v>
      </x:c>
      <x:c r="G156" s="4" t="str">
        <x:v>clk, rx, rx_en, rdy_clr, rdy, data_out</x:v>
      </x:c>
      <x:c r="H156" s="4" t="str">
        <x:v>Clear previous rdy; send a valid start and eight data bits, but keep rx low at the stop sample. Then return idle high and send a valid frame.</x:v>
      </x:c>
      <x:c r="I156" s="4" t="str">
        <x:v>Current receiver rejects the bad stop: no new rdy and no data_out update. It has no separate framing-error port.</x:v>
      </x:c>
      <x:c r="J156" s="17"/>
      <x:c r="K156" s="24"/>
      <x:c r="L156" s="17"/>
      <x:c r="M156" s="17"/>
      <x:c r="N156" s="4" t="str">
        <x:v>rtlCode/uart_receiver.v</x:v>
      </x:c>
      <x:c r="O156" s="25" t="str">
        <x:v>https://github.com/kapiltrip/UART-/blob/5f65f99cf43ed317f18874503046f994d5038c65/rtlCode/uart_receiver.v</x:v>
      </x:c>
      <x:c r="P156" s="4" t="str">
        <x:f>IF(B156="Done",IF(OR(J156="",K156="",L156=""),"Add run evidence","Recorded"),IF(OR(B156="Blocked",B156="N/A"),IF(M156="","Add reason","Reason recorded"),""))</x:f>
      </x:c>
      <x:c r="Q156" s="4" t="str">
        <x:v>5f65f99cf43ed317f18874503046f994d5038c65</x:v>
      </x:c>
    </x:row>
    <x:row r="157" ht="86" customHeight="1">
      <x:c r="A157" s="15" t="str">
        <x:v>UART-029</x:v>
      </x:c>
      <x:c r="B157" s="19" t="str">
        <x:v>Pending</x:v>
      </x:c>
      <x:c r="C157" s="15" t="str">
        <x:v>P1</x:v>
      </x:c>
      <x:c r="D157" s="15" t="str">
        <x:v>UART-</x:v>
      </x:c>
      <x:c r="E157" s="15" t="str">
        <x:v>UART receiver</x:v>
      </x:c>
      <x:c r="F157" s="15" t="str">
        <x:v>Sticky ready and clear race</x:v>
      </x:c>
      <x:c r="G157" s="15" t="str">
        <x:v>clk, rx, rx_en, rdy_clr, rdy, data_out</x:v>
      </x:c>
      <x:c r="H157" s="15" t="str">
        <x:v>Receive a byte with rdy_clr=0, wait, clear it, then assert rdy_clr on the same clk edge that another good stop is accepted.</x:v>
      </x:c>
      <x:c r="I157" s="15" t="str">
        <x:v>rdy holds until clear. On coincident clear and good completion, the later receive assignment wins: rdy=1 with the new data.</x:v>
      </x:c>
      <x:c r="J157" s="17"/>
      <x:c r="K157" s="24"/>
      <x:c r="L157" s="17"/>
      <x:c r="M157" s="17"/>
      <x:c r="N157" s="15" t="str">
        <x:v>rtlCode/uart_receiver.v</x:v>
      </x:c>
      <x:c r="O157" s="26" t="str">
        <x:v>https://github.com/kapiltrip/UART-/blob/5f65f99cf43ed317f18874503046f994d5038c65/rtlCode/uart_receiver.v</x:v>
      </x:c>
      <x:c r="P157" s="15" t="str">
        <x:f>IF(B157="Done",IF(OR(J157="",K157="",L157=""),"Add run evidence","Recorded"),IF(OR(B157="Blocked",B157="N/A"),IF(M157="","Add reason","Reason recorded"),""))</x:f>
      </x:c>
      <x:c r="Q157" s="15" t="str">
        <x:v>5f65f99cf43ed317f18874503046f994d5038c65</x:v>
      </x:c>
    </x:row>
    <x:row r="158" ht="86" customHeight="1">
      <x:c r="A158" s="4" t="str">
        <x:v>UART-030</x:v>
      </x:c>
      <x:c r="B158" s="19" t="str">
        <x:v>Pending</x:v>
      </x:c>
      <x:c r="C158" s="4" t="str">
        <x:v>P1</x:v>
      </x:c>
      <x:c r="D158" s="4" t="str">
        <x:v>UART-</x:v>
      </x:c>
      <x:c r="E158" s="4" t="str">
        <x:v>UART receiver</x:v>
      </x:c>
      <x:c r="F158" s="4" t="str">
        <x:v>Unread result overwritten</x:v>
      </x:c>
      <x:c r="G158" s="4" t="str">
        <x:v>clk, rx, rx_en, rdy_clr, rdy, data_out</x:v>
      </x:c>
      <x:c r="H158" s="4" t="str">
        <x:v>Send two frames without clearing rdy in between; record both completion moments.</x:v>
      </x:c>
      <x:c r="I158" s="4" t="str">
        <x:v>This receiver has one result register. A later good frame replaces data_out even if previous rdy remained high; no overrun indication exists.</x:v>
      </x:c>
      <x:c r="J158" s="17"/>
      <x:c r="K158" s="24"/>
      <x:c r="L158" s="17"/>
      <x:c r="M158" s="17"/>
      <x:c r="N158" s="4" t="str">
        <x:v>rtlCode/uart_receiver.v</x:v>
      </x:c>
      <x:c r="O158" s="25" t="str">
        <x:v>https://github.com/kapiltrip/UART-/blob/5f65f99cf43ed317f18874503046f994d5038c65/rtlCode/uart_receiver.v</x:v>
      </x:c>
      <x:c r="P158" s="4" t="str">
        <x:f>IF(B158="Done",IF(OR(J158="",K158="",L158=""),"Add run evidence","Recorded"),IF(OR(B158="Blocked",B158="N/A"),IF(M158="","Add reason","Reason recorded"),""))</x:f>
      </x:c>
      <x:c r="Q158" s="4" t="str">
        <x:v>5f65f99cf43ed317f18874503046f994d5038c65</x:v>
      </x:c>
    </x:row>
    <x:row r="159" ht="86" customHeight="1">
      <x:c r="A159" s="15" t="str">
        <x:v>UART-031</x:v>
      </x:c>
      <x:c r="B159" s="19" t="str">
        <x:v>Pending</x:v>
      </x:c>
      <x:c r="C159" s="15" t="str">
        <x:v>P2</x:v>
      </x:c>
      <x:c r="D159" s="15" t="str">
        <x:v>UART-</x:v>
      </x:c>
      <x:c r="E159" s="15" t="str">
        <x:v>UART receiver</x:v>
      </x:c>
      <x:c r="F159" s="15" t="str">
        <x:v>Phase and rate sweep</x:v>
      </x:c>
      <x:c r="G159" s="15" t="str">
        <x:v>clk, rx, rx_en, rdy, data_out</x:v>
      </x:c>
      <x:c r="H159" s="15" t="str">
        <x:v>Shift frame start through all 16 sample phases; sweep small positive/negative bit-period offsets and include 00,FF,55,AA.</x:v>
      </x:c>
      <x:c r="I159" s="15" t="str">
        <x:v>All values in the agreed nominal tolerance pass. Record the measured tolerance boundary rather than inventing a guaranteed percentage.</x:v>
      </x:c>
      <x:c r="J159" s="17"/>
      <x:c r="K159" s="24"/>
      <x:c r="L159" s="17"/>
      <x:c r="M159" s="17"/>
      <x:c r="N159" s="15" t="str">
        <x:v>rtlCode/uart_receiver.v</x:v>
      </x:c>
      <x:c r="O159" s="26" t="str">
        <x:v>https://github.com/kapiltrip/UART-/blob/5f65f99cf43ed317f18874503046f994d5038c65/rtlCode/uart_receiver.v</x:v>
      </x:c>
      <x:c r="P159" s="15" t="str">
        <x:f>IF(B159="Done",IF(OR(J159="",K159="",L159=""),"Add run evidence","Recorded"),IF(OR(B159="Blocked",B159="N/A"),IF(M159="","Add reason","Reason recorded"),""))</x:f>
      </x:c>
      <x:c r="Q159" s="15" t="str">
        <x:v>5f65f99cf43ed317f18874503046f994d5038c65</x:v>
      </x:c>
    </x:row>
    <x:row r="160" ht="86" customHeight="1">
      <x:c r="A160" s="4" t="str">
        <x:v>UART-032</x:v>
      </x:c>
      <x:c r="B160" s="19" t="str">
        <x:v>Pending</x:v>
      </x:c>
      <x:c r="C160" s="4" t="str">
        <x:v>P1</x:v>
      </x:c>
      <x:c r="D160" s="4" t="str">
        <x:v>UART-</x:v>
      </x:c>
      <x:c r="E160" s="4" t="str">
        <x:v>UART receiver</x:v>
      </x:c>
      <x:c r="F160" s="4" t="str">
        <x:v>Reset while receiving</x:v>
      </x:c>
      <x:c r="G160" s="4" t="str">
        <x:v>clk, rst, rx, rx_en, rdy, data_out</x:v>
      </x:c>
      <x:c r="H160" s="4" t="str">
        <x:v>Reset during start, each data position and stop. Restore idle high before a fresh frame.</x:v>
      </x:c>
      <x:c r="I160" s="4" t="str">
        <x:v>Partial frame is discarded; reset clears ready/data and the fresh frame is received once.</x:v>
      </x:c>
      <x:c r="J160" s="17"/>
      <x:c r="K160" s="24"/>
      <x:c r="L160" s="17"/>
      <x:c r="M160" s="17"/>
      <x:c r="N160" s="4" t="str">
        <x:v>rtlCode/uart_receiver.v</x:v>
      </x:c>
      <x:c r="O160" s="25" t="str">
        <x:v>https://github.com/kapiltrip/UART-/blob/5f65f99cf43ed317f18874503046f994d5038c65/rtlCode/uart_receiver.v</x:v>
      </x:c>
      <x:c r="P160" s="4" t="str">
        <x:f>IF(B160="Done",IF(OR(J160="",K160="",L160=""),"Add run evidence","Recorded"),IF(OR(B160="Blocked",B160="N/A"),IF(M160="","Add reason","Reason recorded"),""))</x:f>
      </x:c>
      <x:c r="Q160" s="4" t="str">
        <x:v>5f65f99cf43ed317f18874503046f994d5038c65</x:v>
      </x:c>
    </x:row>
    <x:row r="161" ht="86" customHeight="1">
      <x:c r="A161" s="15" t="str">
        <x:v>UART-033</x:v>
      </x:c>
      <x:c r="B161" s="19" t="str">
        <x:v>Pending</x:v>
      </x:c>
      <x:c r="C161" s="15" t="str">
        <x:v>P1</x:v>
      </x:c>
      <x:c r="D161" s="15" t="str">
        <x:v>UART-</x:v>
      </x:c>
      <x:c r="E161" s="15" t="str">
        <x:v>UART receiver</x:v>
      </x:c>
      <x:c r="F161" s="15" t="str">
        <x:v>Input synchronization review</x:v>
      </x:c>
      <x:c r="G161" s="15" t="str">
        <x:v>clk, rx, rx_en, rdy, data_out</x:v>
      </x:c>
      <x:c r="H161" s="15" t="str">
        <x:v>Trace the rx sampling path and distinguish this loopback demo from an external asynchronous pin.</x:v>
      </x:c>
      <x:c r="I161" s="15" t="str">
        <x:v>This receiver samples rx directly when rx_en is high. Loopback works synchronously, but using an external asynchronous pin requires an input synchronization/CDC decision.</x:v>
      </x:c>
      <x:c r="J161" s="17"/>
      <x:c r="K161" s="24"/>
      <x:c r="L161" s="17"/>
      <x:c r="M161" s="17"/>
      <x:c r="N161" s="15" t="str">
        <x:v>rtlCode/uart_receiver.v</x:v>
      </x:c>
      <x:c r="O161" s="26" t="str">
        <x:v>https://github.com/kapiltrip/UART-/blob/5f65f99cf43ed317f18874503046f994d5038c65/rtlCode/uart_receiver.v</x:v>
      </x:c>
      <x:c r="P161" s="15" t="str">
        <x:f>IF(B161="Done",IF(OR(J161="",K161="",L161=""),"Add run evidence","Recorded"),IF(OR(B161="Blocked",B161="N/A"),IF(M161="","Add reason","Reason recorded"),""))</x:f>
      </x:c>
      <x:c r="Q161" s="15" t="str">
        <x:v>5f65f99cf43ed317f18874503046f994d5038c65</x:v>
      </x:c>
    </x:row>
    <x:row r="162" ht="86" customHeight="1">
      <x:c r="A162" s="4" t="str">
        <x:v>UL-001</x:v>
      </x:c>
      <x:c r="B162" s="19" t="str">
        <x:v>Pending</x:v>
      </x:c>
      <x:c r="C162" s="20" t="str">
        <x:v>P0</x:v>
      </x:c>
      <x:c r="D162" s="4" t="str">
        <x:v>UART-legacy</x:v>
      </x:c>
      <x:c r="E162" s="4" t="str">
        <x:v>Baud generator</x:v>
      </x:c>
      <x:c r="F162" s="4" t="str">
        <x:v>Reset polarity and initial enables</x:v>
      </x:c>
      <x:c r="G162" s="4" t="str">
        <x:v>clk, rst, tx_en, rx_en</x:v>
      </x:c>
      <x:c r="H162" s="4" t="str">
        <x:v>Assert rst=1 across rising clk edges; inspect the counters and both enables before releasing reset.</x:v>
      </x:c>
      <x:c r="I162" s="4" t="str">
        <x:v>Counters reset to 0, so combinational tx_en and rx_en are HIGH during reset. Receiver/transmitter reset must take priority.</x:v>
      </x:c>
      <x:c r="J162" s="17"/>
      <x:c r="K162" s="24"/>
      <x:c r="L162" s="17"/>
      <x:c r="M162" s="17"/>
      <x:c r="N162" s="4" t="str">
        <x:v>baud_rate_generator.v</x:v>
      </x:c>
      <x:c r="O162" s="25" t="str">
        <x:v>https://github.com/kapiltrip/UART-legacy/blob/28d439c91eca72edba0ce269ba01812ad02c2900/baud_rate_generator.v</x:v>
      </x:c>
      <x:c r="P162" s="4" t="str">
        <x:f>IF(B162="Done",IF(OR(J162="",K162="",L162=""),"Add run evidence","Recorded"),IF(OR(B162="Blocked",B162="N/A"),IF(M162="","Add reason","Reason recorded"),""))</x:f>
      </x:c>
      <x:c r="Q162" s="4" t="str">
        <x:v>28d439c91eca72edba0ce269ba01812ad02c2900</x:v>
      </x:c>
    </x:row>
    <x:row r="163" ht="86" customHeight="1">
      <x:c r="A163" s="15" t="str">
        <x:v>UL-002</x:v>
      </x:c>
      <x:c r="B163" s="19" t="str">
        <x:v>Pending</x:v>
      </x:c>
      <x:c r="C163" s="21" t="str">
        <x:v>P0</x:v>
      </x:c>
      <x:c r="D163" s="15" t="str">
        <x:v>UART-legacy</x:v>
      </x:c>
      <x:c r="E163" s="15" t="str">
        <x:v>Baud generator</x:v>
      </x:c>
      <x:c r="F163" s="15" t="str">
        <x:v>Exact tick interval</x:v>
      </x:c>
      <x:c r="G163" s="15" t="str">
        <x:v>clk, rst, tx_en, rx_en</x:v>
      </x:c>
      <x:c r="H163" s="15" t="str">
        <x:v>Count clk edges between at least ten tx_en pulses and ten rx_en pulses after reset.</x:v>
      </x:c>
      <x:c r="I163" s="15" t="str">
        <x:v>Periods are TX_COUNT_MAX+1=5209 clocks and RX_COUNT_MAX+1=326 clocks, not 5208/325.</x:v>
      </x:c>
      <x:c r="J163" s="17"/>
      <x:c r="K163" s="24"/>
      <x:c r="L163" s="17"/>
      <x:c r="M163" s="17"/>
      <x:c r="N163" s="15" t="str">
        <x:v>baud_rate_generator.v</x:v>
      </x:c>
      <x:c r="O163" s="26" t="str">
        <x:v>https://github.com/kapiltrip/UART-legacy/blob/28d439c91eca72edba0ce269ba01812ad02c2900/baud_rate_generator.v</x:v>
      </x:c>
      <x:c r="P163" s="15" t="str">
        <x:f>IF(B163="Done",IF(OR(J163="",K163="",L163=""),"Add run evidence","Recorded"),IF(OR(B163="Blocked",B163="N/A"),IF(M163="","Add reason","Reason recorded"),""))</x:f>
      </x:c>
      <x:c r="Q163" s="15" t="str">
        <x:v>28d439c91eca72edba0ce269ba01812ad02c2900</x:v>
      </x:c>
    </x:row>
    <x:row r="164" ht="86" customHeight="1">
      <x:c r="A164" s="4" t="str">
        <x:v>UL-003</x:v>
      </x:c>
      <x:c r="B164" s="19" t="str">
        <x:v>Pending</x:v>
      </x:c>
      <x:c r="C164" s="4" t="str">
        <x:v>P2</x:v>
      </x:c>
      <x:c r="D164" s="4" t="str">
        <x:v>UART-legacy</x:v>
      </x:c>
      <x:c r="E164" s="4" t="str">
        <x:v>Baud generator</x:v>
      </x:c>
      <x:c r="F164" s="4" t="str">
        <x:v>Divisor corners and restart</x:v>
      </x:c>
      <x:c r="G164" s="4" t="str">
        <x:v>clk, rst, tx_en, rx_en</x:v>
      </x:c>
      <x:c r="H164" s="4" t="str">
        <x:v>Repeat with small legal terminal values/divisors, reset midway through counting, and measure the restarted interval.</x:v>
      </x:c>
      <x:c r="I164" s="4" t="str">
        <x:v>Counter widths limit the supported range. Current UART: TX_DIV 1..8192 and RX_DIV 1..1024; DIV=1 makes enable continuously high. Legacy: maximum terminal counts 8191 and 1023; zero makes enable continuously high. Do not silently truncate unsupported overrides.</x:v>
      </x:c>
      <x:c r="J164" s="17"/>
      <x:c r="K164" s="24"/>
      <x:c r="L164" s="17"/>
      <x:c r="M164" s="17"/>
      <x:c r="N164" s="4" t="str">
        <x:v>baud_rate_generator.v</x:v>
      </x:c>
      <x:c r="O164" s="25" t="str">
        <x:v>https://github.com/kapiltrip/UART-legacy/blob/28d439c91eca72edba0ce269ba01812ad02c2900/baud_rate_generator.v</x:v>
      </x:c>
      <x:c r="P164" s="4" t="str">
        <x:f>IF(B164="Done",IF(OR(J164="",K164="",L164=""),"Add run evidence","Recorded"),IF(OR(B164="Blocked",B164="N/A"),IF(M164="","Add reason","Reason recorded"),""))</x:f>
      </x:c>
      <x:c r="Q164" s="4" t="str">
        <x:v>28d439c91eca72edba0ce269ba01812ad02c2900</x:v>
      </x:c>
    </x:row>
    <x:row r="165" ht="86" customHeight="1">
      <x:c r="A165" s="15" t="str">
        <x:v>UL-004</x:v>
      </x:c>
      <x:c r="B165" s="19" t="str">
        <x:v>Pending</x:v>
      </x:c>
      <x:c r="C165" s="15" t="str">
        <x:v>P1</x:v>
      </x:c>
      <x:c r="D165" s="15" t="str">
        <x:v>UART-legacy</x:v>
      </x:c>
      <x:c r="E165" s="15" t="str">
        <x:v>Baud generator</x:v>
      </x:c>
      <x:c r="F165" s="15" t="str">
        <x:v>TX/RX rate ratio</x:v>
      </x:c>
      <x:c r="G165" s="15" t="str">
        <x:v>clk, tx_en, rx_en</x:v>
      </x:c>
      <x:c r="H165" s="15" t="str">
        <x:v>Measure serial-bit duration and receiver sample spacing with the actual defaults, then use a small exact 16:1 setup in isolated tests.</x:v>
      </x:c>
      <x:c r="I165" s="15" t="str">
        <x:v>Default tick ratios are close to, but not exactly, 16:1. Evaluate complete frames and phase variation; do not assume the parameter names represent the same terminal-count convention.</x:v>
      </x:c>
      <x:c r="J165" s="17"/>
      <x:c r="K165" s="24"/>
      <x:c r="L165" s="17"/>
      <x:c r="M165" s="17"/>
      <x:c r="N165" s="15" t="str">
        <x:v>baud_rate_generator.v</x:v>
      </x:c>
      <x:c r="O165" s="26" t="str">
        <x:v>https://github.com/kapiltrip/UART-legacy/blob/28d439c91eca72edba0ce269ba01812ad02c2900/baud_rate_generator.v</x:v>
      </x:c>
      <x:c r="P165" s="15" t="str">
        <x:f>IF(B165="Done",IF(OR(J165="",K165="",L165=""),"Add run evidence","Recorded"),IF(OR(B165="Blocked",B165="N/A"),IF(M165="","Add reason","Reason recorded"),""))</x:f>
      </x:c>
      <x:c r="Q165" s="15" t="str">
        <x:v>28d439c91eca72edba0ce269ba01812ad02c2900</x:v>
      </x:c>
    </x:row>
    <x:row r="166" ht="86" customHeight="1">
      <x:c r="A166" s="4" t="str">
        <x:v>UL-005</x:v>
      </x:c>
      <x:c r="B166" s="19" t="str">
        <x:v>Pending</x:v>
      </x:c>
      <x:c r="C166" s="20" t="str">
        <x:v>P0</x:v>
      </x:c>
      <x:c r="D166" s="4" t="str">
        <x:v>UART-legacy</x:v>
      </x:c>
      <x:c r="E166" s="4" t="str">
        <x:v>UART transmitter</x:v>
      </x:c>
      <x:c r="F166" s="4" t="str">
        <x:v>Reset and idle level</x:v>
      </x:c>
      <x:c r="G166" s="4" t="str">
        <x:v>clk, rst, wr_en, data_in, tx_en, tx, busy</x:v>
      </x:c>
      <x:c r="H166" s="4" t="str">
        <x:v>Assert rst; release with wr_en=0. Run several tx_en pulses.</x:v>
      </x:c>
      <x:c r="I166" s="4" t="str">
        <x:v>After reset tx=1 and busy=0. Idle remains high.</x:v>
      </x:c>
      <x:c r="J166" s="17"/>
      <x:c r="K166" s="24"/>
      <x:c r="L166" s="17"/>
      <x:c r="M166" s="17"/>
      <x:c r="N166" s="4" t="str">
        <x:v>transmitter.v</x:v>
      </x:c>
      <x:c r="O166" s="25" t="str">
        <x:v>https://github.com/kapiltrip/UART-legacy/blob/28d439c91eca72edba0ce269ba01812ad02c2900/transmitter.v</x:v>
      </x:c>
      <x:c r="P166" s="4" t="str">
        <x:f>IF(B166="Done",IF(OR(J166="",K166="",L166=""),"Add run evidence","Recorded"),IF(OR(B166="Blocked",B166="N/A"),IF(M166="","Add reason","Reason recorded"),""))</x:f>
      </x:c>
      <x:c r="Q166" s="4" t="str">
        <x:v>28d439c91eca72edba0ce269ba01812ad02c2900</x:v>
      </x:c>
    </x:row>
    <x:row r="167" ht="86" customHeight="1">
      <x:c r="A167" s="15" t="str">
        <x:v>UL-006</x:v>
      </x:c>
      <x:c r="B167" s="19" t="str">
        <x:v>Pending</x:v>
      </x:c>
      <x:c r="C167" s="21" t="str">
        <x:v>P0</x:v>
      </x:c>
      <x:c r="D167" s="15" t="str">
        <x:v>UART-legacy</x:v>
      </x:c>
      <x:c r="E167" s="15" t="str">
        <x:v>UART transmitter</x:v>
      </x:c>
      <x:c r="F167" s="15" t="str">
        <x:v>8N1 frame and bit order</x:v>
      </x:c>
      <x:c r="G167" s="15" t="str">
        <x:v>clk, rst, wr_en, data_in, tx_en, tx, busy</x:v>
      </x:c>
      <x:c r="H167" s="15" t="str">
        <x:v>Pulse wr_en for one clk with data_in=A5 while busy=0. Supply regular tx_en ticks and record tx at each tick.</x:v>
      </x:c>
      <x:c r="I167" s="15" t="str">
        <x:v>Frame is start 0, data bits 1,0,1,0,0,1,0,1 (LSB first), then stop 1. busy rises on the accepted request and falls when stop is launched.</x:v>
      </x:c>
      <x:c r="J167" s="17"/>
      <x:c r="K167" s="24"/>
      <x:c r="L167" s="17"/>
      <x:c r="M167" s="17"/>
      <x:c r="N167" s="15" t="str">
        <x:v>transmitter.v</x:v>
      </x:c>
      <x:c r="O167" s="26" t="str">
        <x:v>https://github.com/kapiltrip/UART-legacy/blob/28d439c91eca72edba0ce269ba01812ad02c2900/transmitter.v</x:v>
      </x:c>
      <x:c r="P167" s="15" t="str">
        <x:f>IF(B167="Done",IF(OR(J167="",K167="",L167=""),"Add run evidence","Recorded"),IF(OR(B167="Blocked",B167="N/A"),IF(M167="","Add reason","Reason recorded"),""))</x:f>
      </x:c>
      <x:c r="Q167" s="15" t="str">
        <x:v>28d439c91eca72edba0ce269ba01812ad02c2900</x:v>
      </x:c>
    </x:row>
    <x:row r="168" ht="86" customHeight="1">
      <x:c r="A168" s="4" t="str">
        <x:v>UL-007</x:v>
      </x:c>
      <x:c r="B168" s="19" t="str">
        <x:v>Pending</x:v>
      </x:c>
      <x:c r="C168" s="4" t="str">
        <x:v>P1</x:v>
      </x:c>
      <x:c r="D168" s="4" t="str">
        <x:v>UART-legacy</x:v>
      </x:c>
      <x:c r="E168" s="4" t="str">
        <x:v>UART transmitter</x:v>
      </x:c>
      <x:c r="F168" s="4" t="str">
        <x:v>Byte patterns and all values</x:v>
      </x:c>
      <x:c r="G168" s="4" t="str">
        <x:v>clk, wr_en, data_in, tx_en, tx, busy</x:v>
      </x:c>
      <x:c r="H168" s="4" t="str">
        <x:v>Send 00,FF,55,AA,01,80 then all 256 byte values. Decode the serial line independently.</x:v>
      </x:c>
      <x:c r="I168" s="4" t="str">
        <x:v>Every decoded byte equals the accepted data_in; exactly eight data bits plus start/stop are emitted.</x:v>
      </x:c>
      <x:c r="J168" s="17"/>
      <x:c r="K168" s="24"/>
      <x:c r="L168" s="17"/>
      <x:c r="M168" s="17"/>
      <x:c r="N168" s="4" t="str">
        <x:v>transmitter.v</x:v>
      </x:c>
      <x:c r="O168" s="25" t="str">
        <x:v>https://github.com/kapiltrip/UART-legacy/blob/28d439c91eca72edba0ce269ba01812ad02c2900/transmitter.v</x:v>
      </x:c>
      <x:c r="P168" s="4" t="str">
        <x:f>IF(B168="Done",IF(OR(J168="",K168="",L168=""),"Add run evidence","Recorded"),IF(OR(B168="Blocked",B168="N/A"),IF(M168="","Add reason","Reason recorded"),""))</x:f>
      </x:c>
      <x:c r="Q168" s="4" t="str">
        <x:v>28d439c91eca72edba0ce269ba01812ad02c2900</x:v>
      </x:c>
    </x:row>
    <x:row r="169" ht="86" customHeight="1">
      <x:c r="A169" s="15" t="str">
        <x:v>UL-008</x:v>
      </x:c>
      <x:c r="B169" s="19" t="str">
        <x:v>Pending</x:v>
      </x:c>
      <x:c r="C169" s="21" t="str">
        <x:v>P0</x:v>
      </x:c>
      <x:c r="D169" s="15" t="str">
        <x:v>UART-legacy</x:v>
      </x:c>
      <x:c r="E169" s="15" t="str">
        <x:v>UART transmitter</x:v>
      </x:c>
      <x:c r="F169" s="15" t="str">
        <x:v>Latched input data</x:v>
      </x:c>
      <x:c r="G169" s="15" t="str">
        <x:v>clk, wr_en, data_in, tx_en, tx, busy</x:v>
      </x:c>
      <x:c r="H169" s="15" t="str">
        <x:v>Accept 3C, then change data_in every clk while busy=1.</x:v>
      </x:c>
      <x:c r="I169" s="15" t="str">
        <x:v>The current frame remains 3C; the input is latched at request acceptance.</x:v>
      </x:c>
      <x:c r="J169" s="17"/>
      <x:c r="K169" s="24"/>
      <x:c r="L169" s="17"/>
      <x:c r="M169" s="17"/>
      <x:c r="N169" s="15" t="str">
        <x:v>transmitter.v</x:v>
      </x:c>
      <x:c r="O169" s="26" t="str">
        <x:v>https://github.com/kapiltrip/UART-legacy/blob/28d439c91eca72edba0ce269ba01812ad02c2900/transmitter.v</x:v>
      </x:c>
      <x:c r="P169" s="15" t="str">
        <x:f>IF(B169="Done",IF(OR(J169="",K169="",L169=""),"Add run evidence","Recorded"),IF(OR(B169="Blocked",B169="N/A"),IF(M169="","Add reason","Reason recorded"),""))</x:f>
      </x:c>
      <x:c r="Q169" s="15" t="str">
        <x:v>28d439c91eca72edba0ce269ba01812ad02c2900</x:v>
      </x:c>
    </x:row>
    <x:row r="170" ht="86" customHeight="1">
      <x:c r="A170" s="4" t="str">
        <x:v>UL-009</x:v>
      </x:c>
      <x:c r="B170" s="19" t="str">
        <x:v>Pending</x:v>
      </x:c>
      <x:c r="C170" s="4" t="str">
        <x:v>P1</x:v>
      </x:c>
      <x:c r="D170" s="4" t="str">
        <x:v>UART-legacy</x:v>
      </x:c>
      <x:c r="E170" s="4" t="str">
        <x:v>UART transmitter</x:v>
      </x:c>
      <x:c r="F170" s="4" t="str">
        <x:v>Write request while busy</x:v>
      </x:c>
      <x:c r="G170" s="4" t="str">
        <x:v>clk, wr_en, data_in, tx_en, tx, busy</x:v>
      </x:c>
      <x:c r="H170" s="4" t="str">
        <x:v>Pulse wr_en in START, each DATA position and STOP while busy=1. Then repeat with wr_en held until the next idle cycle.</x:v>
      </x:c>
      <x:c r="I170" s="4" t="str">
        <x:v>Pulses entirely while busy are ignored by this transmitter. A held request can be accepted in IDLE and send another byte; it is not a one-shot interface.</x:v>
      </x:c>
      <x:c r="J170" s="17"/>
      <x:c r="K170" s="24"/>
      <x:c r="L170" s="17"/>
      <x:c r="M170" s="17"/>
      <x:c r="N170" s="4" t="str">
        <x:v>transmitter.v</x:v>
      </x:c>
      <x:c r="O170" s="25" t="str">
        <x:v>https://github.com/kapiltrip/UART-legacy/blob/28d439c91eca72edba0ce269ba01812ad02c2900/transmitter.v</x:v>
      </x:c>
      <x:c r="P170" s="4" t="str">
        <x:f>IF(B170="Done",IF(OR(J170="",K170="",L170=""),"Add run evidence","Recorded"),IF(OR(B170="Blocked",B170="N/A"),IF(M170="","Add reason","Reason recorded"),""))</x:f>
      </x:c>
      <x:c r="Q170" s="4" t="str">
        <x:v>28d439c91eca72edba0ce269ba01812ad02c2900</x:v>
      </x:c>
    </x:row>
    <x:row r="171" ht="86" customHeight="1">
      <x:c r="A171" s="15" t="str">
        <x:v>UL-010</x:v>
      </x:c>
      <x:c r="B171" s="19" t="str">
        <x:v>Pending</x:v>
      </x:c>
      <x:c r="C171" s="15" t="str">
        <x:v>P1</x:v>
      </x:c>
      <x:c r="D171" s="15" t="str">
        <x:v>UART-legacy</x:v>
      </x:c>
      <x:c r="E171" s="15" t="str">
        <x:v>UART transmitter</x:v>
      </x:c>
      <x:c r="F171" s="15" t="str">
        <x:v>Missing enable ticks</x:v>
      </x:c>
      <x:c r="G171" s="15" t="str">
        <x:v>clk, wr_en, tx_en, tx, busy</x:v>
      </x:c>
      <x:c r="H171" s="15" t="str">
        <x:v>Pause tx_en in START, DATA and STOP for several clk periods, then resume.</x:v>
      </x:c>
      <x:c r="I171" s="15" t="str">
        <x:v>Frame state/bit position holds while waiting; tx and busy do not advance to the next serial bit without tx_en.</x:v>
      </x:c>
      <x:c r="J171" s="17"/>
      <x:c r="K171" s="24"/>
      <x:c r="L171" s="17"/>
      <x:c r="M171" s="17"/>
      <x:c r="N171" s="15" t="str">
        <x:v>transmitter.v</x:v>
      </x:c>
      <x:c r="O171" s="26" t="str">
        <x:v>https://github.com/kapiltrip/UART-legacy/blob/28d439c91eca72edba0ce269ba01812ad02c2900/transmitter.v</x:v>
      </x:c>
      <x:c r="P171" s="15" t="str">
        <x:f>IF(B171="Done",IF(OR(J171="",K171="",L171=""),"Add run evidence","Recorded"),IF(OR(B171="Blocked",B171="N/A"),IF(M171="","Add reason","Reason recorded"),""))</x:f>
      </x:c>
      <x:c r="Q171" s="15" t="str">
        <x:v>28d439c91eca72edba0ce269ba01812ad02c2900</x:v>
      </x:c>
    </x:row>
    <x:row r="172" ht="86" customHeight="1">
      <x:c r="A172" s="4" t="str">
        <x:v>UL-011</x:v>
      </x:c>
      <x:c r="B172" s="19" t="str">
        <x:v>Pending</x:v>
      </x:c>
      <x:c r="C172" s="4" t="str">
        <x:v>P1</x:v>
      </x:c>
      <x:c r="D172" s="4" t="str">
        <x:v>UART-legacy</x:v>
      </x:c>
      <x:c r="E172" s="4" t="str">
        <x:v>UART transmitter</x:v>
      </x:c>
      <x:c r="F172" s="4" t="str">
        <x:v>Reset mid-frame and recovery</x:v>
      </x:c>
      <x:c r="G172" s="4" t="str">
        <x:v>clk, rst, wr_en, data_in, tx_en, tx, busy</x:v>
      </x:c>
      <x:c r="H172" s="4" t="str">
        <x:v>Reset during start, a data bit and stop; release and transmit a fresh byte.</x:v>
      </x:c>
      <x:c r="I172" s="4" t="str">
        <x:v>Reset aborts the partial frame, restores idle-high tx and clears busy. A new request produces a complete fresh frame.</x:v>
      </x:c>
      <x:c r="J172" s="17"/>
      <x:c r="K172" s="24"/>
      <x:c r="L172" s="17"/>
      <x:c r="M172" s="17"/>
      <x:c r="N172" s="4" t="str">
        <x:v>transmitter.v</x:v>
      </x:c>
      <x:c r="O172" s="25" t="str">
        <x:v>https://github.com/kapiltrip/UART-legacy/blob/28d439c91eca72edba0ce269ba01812ad02c2900/transmitter.v</x:v>
      </x:c>
      <x:c r="P172" s="4" t="str">
        <x:f>IF(B172="Done",IF(OR(J172="",K172="",L172=""),"Add run evidence","Recorded"),IF(OR(B172="Blocked",B172="N/A"),IF(M172="","Add reason","Reason recorded"),""))</x:f>
      </x:c>
      <x:c r="Q172" s="4" t="str">
        <x:v>28d439c91eca72edba0ce269ba01812ad02c2900</x:v>
      </x:c>
    </x:row>
    <x:row r="173" ht="86" customHeight="1">
      <x:c r="A173" s="15" t="str">
        <x:v>UL-012</x:v>
      </x:c>
      <x:c r="B173" s="19" t="str">
        <x:v>Pending</x:v>
      </x:c>
      <x:c r="C173" s="15" t="str">
        <x:v>P1</x:v>
      </x:c>
      <x:c r="D173" s="15" t="str">
        <x:v>UART-legacy</x:v>
      </x:c>
      <x:c r="E173" s="15" t="str">
        <x:v>UART transmitter</x:v>
      </x:c>
      <x:c r="F173" s="15" t="str">
        <x:v>Stop-bit duration before next frame</x:v>
      </x:c>
      <x:c r="G173" s="15" t="str">
        <x:v>clk, wr_en, data_in, tx_en, tx, busy</x:v>
      </x:c>
      <x:c r="H173" s="15" t="str">
        <x:v>Submit the next byte at the earliest idle clk after busy falls; measure tx until the next start bit.</x:v>
      </x:c>
      <x:c r="I173" s="15" t="str">
        <x:v>The stop interval remains a full baud-tick interval even though busy drops when stop is launched. Check timing from tx transitions rather than busy alone.</x:v>
      </x:c>
      <x:c r="J173" s="17"/>
      <x:c r="K173" s="24"/>
      <x:c r="L173" s="17"/>
      <x:c r="M173" s="17"/>
      <x:c r="N173" s="15" t="str">
        <x:v>transmitter.v</x:v>
      </x:c>
      <x:c r="O173" s="26" t="str">
        <x:v>https://github.com/kapiltrip/UART-legacy/blob/28d439c91eca72edba0ce269ba01812ad02c2900/transmitter.v</x:v>
      </x:c>
      <x:c r="P173" s="15" t="str">
        <x:f>IF(B173="Done",IF(OR(J173="",K173="",L173=""),"Add run evidence","Recorded"),IF(OR(B173="Blocked",B173="N/A"),IF(M173="","Add reason","Reason recorded"),""))</x:f>
      </x:c>
      <x:c r="Q173" s="15" t="str">
        <x:v>28d439c91eca72edba0ce269ba01812ad02c2900</x:v>
      </x:c>
    </x:row>
    <x:row r="174" ht="86" customHeight="1">
      <x:c r="A174" s="4" t="str">
        <x:v>UL-013</x:v>
      </x:c>
      <x:c r="B174" s="19" t="str">
        <x:v>Pending</x:v>
      </x:c>
      <x:c r="C174" s="20" t="str">
        <x:v>P0</x:v>
      </x:c>
      <x:c r="D174" s="4" t="str">
        <x:v>UART-legacy</x:v>
      </x:c>
      <x:c r="E174" s="4" t="str">
        <x:v>UART receiver</x:v>
      </x:c>
      <x:c r="F174" s="4" t="str">
        <x:v>Reset and idle-high input</x:v>
      </x:c>
      <x:c r="G174" s="4" t="str">
        <x:v>clk, rst, rx, rx_en, rdy_clr, rdy, data_out</x:v>
      </x:c>
      <x:c r="H174" s="4" t="str">
        <x:v>Assert rst, then release with rx=1, rdy_clr=0 and periodic rx_en.</x:v>
      </x:c>
      <x:c r="I174" s="4" t="str">
        <x:v>rdy=0 and data_out=0 after reset; idle-high rx must not create a receive event.</x:v>
      </x:c>
      <x:c r="J174" s="17"/>
      <x:c r="K174" s="24"/>
      <x:c r="L174" s="17"/>
      <x:c r="M174" s="17"/>
      <x:c r="N174" s="4" t="str">
        <x:v>uart_receiver.v</x:v>
      </x:c>
      <x:c r="O174" s="25" t="str">
        <x:v>https://github.com/kapiltrip/UART-legacy/blob/28d439c91eca72edba0ce269ba01812ad02c2900/uart_receiver.v</x:v>
      </x:c>
      <x:c r="P174" s="4" t="str">
        <x:f>IF(B174="Done",IF(OR(J174="",K174="",L174=""),"Add run evidence","Recorded"),IF(OR(B174="Blocked",B174="N/A"),IF(M174="","Add reason","Reason recorded"),""))</x:f>
      </x:c>
      <x:c r="Q174" s="4" t="str">
        <x:v>28d439c91eca72edba0ce269ba01812ad02c2900</x:v>
      </x:c>
    </x:row>
    <x:row r="175" ht="86" customHeight="1">
      <x:c r="A175" s="15" t="str">
        <x:v>UL-014</x:v>
      </x:c>
      <x:c r="B175" s="19" t="str">
        <x:v>Pending</x:v>
      </x:c>
      <x:c r="C175" s="21" t="str">
        <x:v>P0</x:v>
      </x:c>
      <x:c r="D175" s="15" t="str">
        <x:v>UART-legacy</x:v>
      </x:c>
      <x:c r="E175" s="15" t="str">
        <x:v>UART receiver</x:v>
      </x:c>
      <x:c r="F175" s="15" t="str">
        <x:v>Receive 8N1 independently</x:v>
      </x:c>
      <x:c r="G175" s="15" t="str">
        <x:v>clk, rx, rx_en, rdy_clr, rdy, data_out</x:v>
      </x:c>
      <x:c r="H175" s="15" t="str">
        <x:v>Drive rx from an independent serial source: start 0, eight LSB-first bits for A5, stop 1. Use 16 rx_en samples per bit.</x:v>
      </x:c>
      <x:c r="I175" s="15" t="str">
        <x:v>One completed frame sets data_out=A5 and rdy=1. Check after the stop sampling edge and nonblocking updates.</x:v>
      </x:c>
      <x:c r="J175" s="17"/>
      <x:c r="K175" s="24"/>
      <x:c r="L175" s="17"/>
      <x:c r="M175" s="17"/>
      <x:c r="N175" s="15" t="str">
        <x:v>uart_receiver.v</x:v>
      </x:c>
      <x:c r="O175" s="26" t="str">
        <x:v>https://github.com/kapiltrip/UART-legacy/blob/28d439c91eca72edba0ce269ba01812ad02c2900/uart_receiver.v</x:v>
      </x:c>
      <x:c r="P175" s="15" t="str">
        <x:f>IF(B175="Done",IF(OR(J175="",K175="",L175=""),"Add run evidence","Recorded"),IF(OR(B175="Blocked",B175="N/A"),IF(M175="","Add reason","Reason recorded"),""))</x:f>
      </x:c>
      <x:c r="Q175" s="15" t="str">
        <x:v>28d439c91eca72edba0ce269ba01812ad02c2900</x:v>
      </x:c>
    </x:row>
    <x:row r="176" ht="86" customHeight="1">
      <x:c r="A176" s="4" t="str">
        <x:v>UL-015</x:v>
      </x:c>
      <x:c r="B176" s="19" t="str">
        <x:v>Pending</x:v>
      </x:c>
      <x:c r="C176" s="4" t="str">
        <x:v>P1</x:v>
      </x:c>
      <x:c r="D176" s="4" t="str">
        <x:v>UART-legacy</x:v>
      </x:c>
      <x:c r="E176" s="4" t="str">
        <x:v>UART receiver</x:v>
      </x:c>
      <x:c r="F176" s="4" t="str">
        <x:v>Reject a false start</x:v>
      </x:c>
      <x:c r="G176" s="4" t="str">
        <x:v>clk, rx, rx_en, rdy, data_out</x:v>
      </x:c>
      <x:c r="H176" s="4" t="str">
        <x:v>Drive a short low pulse that is high again by the middle-of-start validation sample, then a valid frame.</x:v>
      </x:c>
      <x:c r="I176" s="4" t="str">
        <x:v>No byte is reported for the glitch. The next valid frame is received normally.</x:v>
      </x:c>
      <x:c r="J176" s="17"/>
      <x:c r="K176" s="24"/>
      <x:c r="L176" s="17"/>
      <x:c r="M176" s="17"/>
      <x:c r="N176" s="4" t="str">
        <x:v>uart_receiver.v</x:v>
      </x:c>
      <x:c r="O176" s="25" t="str">
        <x:v>https://github.com/kapiltrip/UART-legacy/blob/28d439c91eca72edba0ce269ba01812ad02c2900/uart_receiver.v</x:v>
      </x:c>
      <x:c r="P176" s="4" t="str">
        <x:f>IF(B176="Done",IF(OR(J176="",K176="",L176=""),"Add run evidence","Recorded"),IF(OR(B176="Blocked",B176="N/A"),IF(M176="","Add reason","Reason recorded"),""))</x:f>
      </x:c>
      <x:c r="Q176" s="4" t="str">
        <x:v>28d439c91eca72edba0ce269ba01812ad02c2900</x:v>
      </x:c>
    </x:row>
    <x:row r="177" ht="86" customHeight="1">
      <x:c r="A177" s="15" t="str">
        <x:v>UL-016</x:v>
      </x:c>
      <x:c r="B177" s="19" t="str">
        <x:v>Pending</x:v>
      </x:c>
      <x:c r="C177" s="21" t="str">
        <x:v>P0</x:v>
      </x:c>
      <x:c r="D177" s="15" t="str">
        <x:v>UART-legacy</x:v>
      </x:c>
      <x:c r="E177" s="15" t="str">
        <x:v>UART receiver</x:v>
      </x:c>
      <x:c r="F177" s="15" t="str">
        <x:v>Stop-bit error behavior</x:v>
      </x:c>
      <x:c r="G177" s="15" t="str">
        <x:v>clk, rx, rx_en, rdy_clr, rdy, data_out</x:v>
      </x:c>
      <x:c r="H177" s="15" t="str">
        <x:v>Clear previous rdy; send a valid start and eight data bits, but keep rx low at the stop sample. Then return idle high and send a valid frame.</x:v>
      </x:c>
      <x:c r="I177" s="15" t="str">
        <x:v>Current legacy RTL accepts the byte without validating the stop bit. Record that limitation; do not claim framing-error protection.</x:v>
      </x:c>
      <x:c r="J177" s="17"/>
      <x:c r="K177" s="24"/>
      <x:c r="L177" s="17"/>
      <x:c r="M177" s="17"/>
      <x:c r="N177" s="15" t="str">
        <x:v>uart_receiver.v</x:v>
      </x:c>
      <x:c r="O177" s="26" t="str">
        <x:v>https://github.com/kapiltrip/UART-legacy/blob/28d439c91eca72edba0ce269ba01812ad02c2900/uart_receiver.v</x:v>
      </x:c>
      <x:c r="P177" s="15" t="str">
        <x:f>IF(B177="Done",IF(OR(J177="",K177="",L177=""),"Add run evidence","Recorded"),IF(OR(B177="Blocked",B177="N/A"),IF(M177="","Add reason","Reason recorded"),""))</x:f>
      </x:c>
      <x:c r="Q177" s="15" t="str">
        <x:v>28d439c91eca72edba0ce269ba01812ad02c2900</x:v>
      </x:c>
    </x:row>
    <x:row r="178" ht="86" customHeight="1">
      <x:c r="A178" s="4" t="str">
        <x:v>UL-017</x:v>
      </x:c>
      <x:c r="B178" s="19" t="str">
        <x:v>Pending</x:v>
      </x:c>
      <x:c r="C178" s="4" t="str">
        <x:v>P1</x:v>
      </x:c>
      <x:c r="D178" s="4" t="str">
        <x:v>UART-legacy</x:v>
      </x:c>
      <x:c r="E178" s="4" t="str">
        <x:v>UART receiver</x:v>
      </x:c>
      <x:c r="F178" s="4" t="str">
        <x:v>Sticky ready and clear race</x:v>
      </x:c>
      <x:c r="G178" s="4" t="str">
        <x:v>clk, rx, rx_en, rdy_clr, rdy, data_out</x:v>
      </x:c>
      <x:c r="H178" s="4" t="str">
        <x:v>Receive a byte with rdy_clr=0, wait, clear it, then assert rdy_clr on the same clk edge that another good stop is accepted.</x:v>
      </x:c>
      <x:c r="I178" s="4" t="str">
        <x:v>rdy holds until clear. On coincident clear and good completion, the later receive assignment wins: rdy=1 with the new data.</x:v>
      </x:c>
      <x:c r="J178" s="17"/>
      <x:c r="K178" s="24"/>
      <x:c r="L178" s="17"/>
      <x:c r="M178" s="17"/>
      <x:c r="N178" s="4" t="str">
        <x:v>uart_receiver.v</x:v>
      </x:c>
      <x:c r="O178" s="25" t="str">
        <x:v>https://github.com/kapiltrip/UART-legacy/blob/28d439c91eca72edba0ce269ba01812ad02c2900/uart_receiver.v</x:v>
      </x:c>
      <x:c r="P178" s="4" t="str">
        <x:f>IF(B178="Done",IF(OR(J178="",K178="",L178=""),"Add run evidence","Recorded"),IF(OR(B178="Blocked",B178="N/A"),IF(M178="","Add reason","Reason recorded"),""))</x:f>
      </x:c>
      <x:c r="Q178" s="4" t="str">
        <x:v>28d439c91eca72edba0ce269ba01812ad02c2900</x:v>
      </x:c>
    </x:row>
    <x:row r="179" ht="86" customHeight="1">
      <x:c r="A179" s="15" t="str">
        <x:v>UL-018</x:v>
      </x:c>
      <x:c r="B179" s="19" t="str">
        <x:v>Pending</x:v>
      </x:c>
      <x:c r="C179" s="15" t="str">
        <x:v>P1</x:v>
      </x:c>
      <x:c r="D179" s="15" t="str">
        <x:v>UART-legacy</x:v>
      </x:c>
      <x:c r="E179" s="15" t="str">
        <x:v>UART receiver</x:v>
      </x:c>
      <x:c r="F179" s="15" t="str">
        <x:v>Unread result overwritten</x:v>
      </x:c>
      <x:c r="G179" s="15" t="str">
        <x:v>clk, rx, rx_en, rdy_clr, rdy, data_out</x:v>
      </x:c>
      <x:c r="H179" s="15" t="str">
        <x:v>Send two frames without clearing rdy in between; record both completion moments.</x:v>
      </x:c>
      <x:c r="I179" s="15" t="str">
        <x:v>This receiver has one result register. A later good frame replaces data_out even if previous rdy remained high; no overrun indication exists.</x:v>
      </x:c>
      <x:c r="J179" s="17"/>
      <x:c r="K179" s="24"/>
      <x:c r="L179" s="17"/>
      <x:c r="M179" s="17"/>
      <x:c r="N179" s="15" t="str">
        <x:v>uart_receiver.v</x:v>
      </x:c>
      <x:c r="O179" s="26" t="str">
        <x:v>https://github.com/kapiltrip/UART-legacy/blob/28d439c91eca72edba0ce269ba01812ad02c2900/uart_receiver.v</x:v>
      </x:c>
      <x:c r="P179" s="15" t="str">
        <x:f>IF(B179="Done",IF(OR(J179="",K179="",L179=""),"Add run evidence","Recorded"),IF(OR(B179="Blocked",B179="N/A"),IF(M179="","Add reason","Reason recorded"),""))</x:f>
      </x:c>
      <x:c r="Q179" s="15" t="str">
        <x:v>28d439c91eca72edba0ce269ba01812ad02c2900</x:v>
      </x:c>
    </x:row>
    <x:row r="180" ht="86" customHeight="1">
      <x:c r="A180" s="4" t="str">
        <x:v>UL-019</x:v>
      </x:c>
      <x:c r="B180" s="19" t="str">
        <x:v>Pending</x:v>
      </x:c>
      <x:c r="C180" s="4" t="str">
        <x:v>P2</x:v>
      </x:c>
      <x:c r="D180" s="4" t="str">
        <x:v>UART-legacy</x:v>
      </x:c>
      <x:c r="E180" s="4" t="str">
        <x:v>UART receiver</x:v>
      </x:c>
      <x:c r="F180" s="4" t="str">
        <x:v>Phase and rate sweep</x:v>
      </x:c>
      <x:c r="G180" s="4" t="str">
        <x:v>clk, rx, rx_en, rdy, data_out</x:v>
      </x:c>
      <x:c r="H180" s="4" t="str">
        <x:v>Shift frame start through all 16 sample phases; sweep small positive/negative bit-period offsets and include 00,FF,55,AA.</x:v>
      </x:c>
      <x:c r="I180" s="4" t="str">
        <x:v>All values in the agreed nominal tolerance pass. Record the measured tolerance boundary rather than inventing a guaranteed percentage.</x:v>
      </x:c>
      <x:c r="J180" s="17"/>
      <x:c r="K180" s="24"/>
      <x:c r="L180" s="17"/>
      <x:c r="M180" s="17"/>
      <x:c r="N180" s="4" t="str">
        <x:v>uart_receiver.v</x:v>
      </x:c>
      <x:c r="O180" s="25" t="str">
        <x:v>https://github.com/kapiltrip/UART-legacy/blob/28d439c91eca72edba0ce269ba01812ad02c2900/uart_receiver.v</x:v>
      </x:c>
      <x:c r="P180" s="4" t="str">
        <x:f>IF(B180="Done",IF(OR(J180="",K180="",L180=""),"Add run evidence","Recorded"),IF(OR(B180="Blocked",B180="N/A"),IF(M180="","Add reason","Reason recorded"),""))</x:f>
      </x:c>
      <x:c r="Q180" s="4" t="str">
        <x:v>28d439c91eca72edba0ce269ba01812ad02c2900</x:v>
      </x:c>
    </x:row>
    <x:row r="181" ht="86" customHeight="1">
      <x:c r="A181" s="15" t="str">
        <x:v>UL-020</x:v>
      </x:c>
      <x:c r="B181" s="19" t="str">
        <x:v>Pending</x:v>
      </x:c>
      <x:c r="C181" s="15" t="str">
        <x:v>P1</x:v>
      </x:c>
      <x:c r="D181" s="15" t="str">
        <x:v>UART-legacy</x:v>
      </x:c>
      <x:c r="E181" s="15" t="str">
        <x:v>UART receiver</x:v>
      </x:c>
      <x:c r="F181" s="15" t="str">
        <x:v>Reset while receiving</x:v>
      </x:c>
      <x:c r="G181" s="15" t="str">
        <x:v>clk, rst, rx, rx_en, rdy, data_out</x:v>
      </x:c>
      <x:c r="H181" s="15" t="str">
        <x:v>Reset during start, each data position and stop. Restore idle high before a fresh frame.</x:v>
      </x:c>
      <x:c r="I181" s="15" t="str">
        <x:v>Partial frame is discarded; reset clears ready/data and the fresh frame is received once.</x:v>
      </x:c>
      <x:c r="J181" s="17"/>
      <x:c r="K181" s="24"/>
      <x:c r="L181" s="17"/>
      <x:c r="M181" s="17"/>
      <x:c r="N181" s="15" t="str">
        <x:v>uart_receiver.v</x:v>
      </x:c>
      <x:c r="O181" s="26" t="str">
        <x:v>https://github.com/kapiltrip/UART-legacy/blob/28d439c91eca72edba0ce269ba01812ad02c2900/uart_receiver.v</x:v>
      </x:c>
      <x:c r="P181" s="15" t="str">
        <x:f>IF(B181="Done",IF(OR(J181="",K181="",L181=""),"Add run evidence","Recorded"),IF(OR(B181="Blocked",B181="N/A"),IF(M181="","Add reason","Reason recorded"),""))</x:f>
      </x:c>
      <x:c r="Q181" s="15" t="str">
        <x:v>28d439c91eca72edba0ce269ba01812ad02c2900</x:v>
      </x:c>
    </x:row>
    <x:row r="182" ht="86" customHeight="1">
      <x:c r="A182" s="4" t="str">
        <x:v>UL-021</x:v>
      </x:c>
      <x:c r="B182" s="19" t="str">
        <x:v>Pending</x:v>
      </x:c>
      <x:c r="C182" s="4" t="str">
        <x:v>P1</x:v>
      </x:c>
      <x:c r="D182" s="4" t="str">
        <x:v>UART-legacy</x:v>
      </x:c>
      <x:c r="E182" s="4" t="str">
        <x:v>UART receiver</x:v>
      </x:c>
      <x:c r="F182" s="4" t="str">
        <x:v>Input synchronization review</x:v>
      </x:c>
      <x:c r="G182" s="4" t="str">
        <x:v>clk, rx, rx_en, rdy, data_out</x:v>
      </x:c>
      <x:c r="H182" s="4" t="str">
        <x:v>Trace the rx sampling path and distinguish this loopback demo from an external asynchronous pin.</x:v>
      </x:c>
      <x:c r="I182" s="4" t="str">
        <x:v>rx passes through rx_meta then rx_sync on clk. Account for the two clk stages in phase tests; physical CDC still needs implementation review.</x:v>
      </x:c>
      <x:c r="J182" s="17"/>
      <x:c r="K182" s="24"/>
      <x:c r="L182" s="17"/>
      <x:c r="M182" s="17"/>
      <x:c r="N182" s="4" t="str">
        <x:v>uart_receiver.v</x:v>
      </x:c>
      <x:c r="O182" s="25" t="str">
        <x:v>https://github.com/kapiltrip/UART-legacy/blob/28d439c91eca72edba0ce269ba01812ad02c2900/uart_receiver.v</x:v>
      </x:c>
      <x:c r="P182" s="4" t="str">
        <x:f>IF(B182="Done",IF(OR(J182="",K182="",L182=""),"Add run evidence","Recorded"),IF(OR(B182="Blocked",B182="N/A"),IF(M182="","Add reason","Reason recorded"),""))</x:f>
      </x:c>
      <x:c r="Q182" s="4" t="str">
        <x:v>28d439c91eca72edba0ce269ba01812ad02c2900</x:v>
      </x:c>
    </x:row>
    <x:row r="183" ht="86" customHeight="1">
      <x:c r="A183" s="15" t="str">
        <x:v>UART-034</x:v>
      </x:c>
      <x:c r="B183" s="19" t="str">
        <x:v>Pending</x:v>
      </x:c>
      <x:c r="C183" s="21" t="str">
        <x:v>P0</x:v>
      </x:c>
      <x:c r="D183" s="15" t="str">
        <x:v>UART-</x:v>
      </x:c>
      <x:c r="E183" s="15" t="str">
        <x:v>Buffered UART loopback</x:v>
      </x:c>
      <x:c r="F183" s="15" t="str">
        <x:v>One buffered byte end to end</x:v>
      </x:c>
      <x:c r="G183" s="15" t="str">
        <x:v>clk, reset, wr_en, data_in, rdy, rdy_clr, data_out, busy</x:v>
      </x:c>
      <x:c r="H183" s="15" t="str">
        <x:v>Reset, pulse wr_en with 47, wait with a bounded timeout for rdy=1, inspect data_out, then pulse rdy_clr.</x:v>
      </x:c>
      <x:c r="I183" s="15" t="str">
        <x:v>One byte 47 is visible at the receive FIFO head. rdy_clr pops it; rdy falls when the RX FIFO becomes empty.</x:v>
      </x:c>
      <x:c r="J183" s="17"/>
      <x:c r="K183" s="24"/>
      <x:c r="L183" s="17"/>
      <x:c r="M183" s="17"/>
      <x:c r="N183" s="15" t="str">
        <x:v>rtlCode/uart_top.v</x:v>
      </x:c>
      <x:c r="O183" s="26" t="str">
        <x:v>https://github.com/kapiltrip/UART-/blob/5f65f99cf43ed317f18874503046f994d5038c65/rtlCode/uart_top.v</x:v>
      </x:c>
      <x:c r="P183" s="15" t="str">
        <x:f>IF(B183="Done",IF(OR(J183="",K183="",L183=""),"Add run evidence","Recorded"),IF(OR(B183="Blocked",B183="N/A"),IF(M183="","Add reason","Reason recorded"),""))</x:f>
      </x:c>
      <x:c r="Q183" s="15" t="str">
        <x:v>5f65f99cf43ed317f18874503046f994d5038c65</x:v>
      </x:c>
    </x:row>
    <x:row r="184" ht="86" customHeight="1">
      <x:c r="A184" s="4" t="str">
        <x:v>UART-035</x:v>
      </x:c>
      <x:c r="B184" s="19" t="str">
        <x:v>Pending</x:v>
      </x:c>
      <x:c r="C184" s="20" t="str">
        <x:v>P0</x:v>
      </x:c>
      <x:c r="D184" s="4" t="str">
        <x:v>UART-</x:v>
      </x:c>
      <x:c r="E184" s="4" t="str">
        <x:v>Buffered UART loopback</x:v>
      </x:c>
      <x:c r="F184" s="4" t="str">
        <x:v>Burst into TX FIFO and ordered RX drain</x:v>
      </x:c>
      <x:c r="G184" s="4" t="str">
        <x:v>clk, wr_en, data_in, rdy, rdy_clr, data_out, busy</x:v>
      </x:c>
      <x:c r="H184" s="4" t="str">
        <x:v>After reset enqueue 12 distinct bytes on consecutive clk edges. Let serialization finish, then drain using one-cycle rdy_clr pulses.</x:v>
      </x:c>
      <x:c r="I184" s="4" t="str">
        <x:v>All 12 bytes return once, in order. Capture data_out before each pop edge because the RX FIFO is show-ahead.</x:v>
      </x:c>
      <x:c r="J184" s="17"/>
      <x:c r="K184" s="24"/>
      <x:c r="L184" s="17"/>
      <x:c r="M184" s="17"/>
      <x:c r="N184" s="4" t="str">
        <x:v>rtlCode/uart_top.v</x:v>
      </x:c>
      <x:c r="O184" s="25" t="str">
        <x:v>https://github.com/kapiltrip/UART-/blob/5f65f99cf43ed317f18874503046f994d5038c65/rtlCode/uart_top.v</x:v>
      </x:c>
      <x:c r="P184" s="4" t="str">
        <x:f>IF(B184="Done",IF(OR(J184="",K184="",L184=""),"Add run evidence","Recorded"),IF(OR(B184="Blocked",B184="N/A"),IF(M184="","Add reason","Reason recorded"),""))</x:f>
      </x:c>
      <x:c r="Q184" s="4" t="str">
        <x:v>5f65f99cf43ed317f18874503046f994d5038c65</x:v>
      </x:c>
    </x:row>
    <x:row r="185" ht="86" customHeight="1">
      <x:c r="A185" s="15" t="str">
        <x:v>UART-036</x:v>
      </x:c>
      <x:c r="B185" s="19" t="str">
        <x:v>Pending</x:v>
      </x:c>
      <x:c r="C185" s="21" t="str">
        <x:v>P0</x:v>
      </x:c>
      <x:c r="D185" s="15" t="str">
        <x:v>UART-</x:v>
      </x:c>
      <x:c r="E185" s="15" t="str">
        <x:v>Buffered UART loopback</x:v>
      </x:c>
      <x:c r="F185" s="15" t="str">
        <x:v>Busy is not TX backpressure</x:v>
      </x:c>
      <x:c r="G185" s="15" t="str">
        <x:v>clk, wr_en, data_in, busy, tx_start, tx_fifo_empty</x:v>
      </x:c>
      <x:c r="H185" s="15" t="str">
        <x:v>Watch busy while adding bytes faster than line rate; compare accepted writes to the internal tx_fifo.full flag.</x:v>
      </x:c>
      <x:c r="I185" s="15" t="str">
        <x:v>busy reports transmitter activity only. A write can be accepted while busy=1 if FIFO space exists; busy=0 is not a formal FIFO write-ready signal.</x:v>
      </x:c>
      <x:c r="J185" s="17"/>
      <x:c r="K185" s="24"/>
      <x:c r="L185" s="17"/>
      <x:c r="M185" s="17"/>
      <x:c r="N185" s="15" t="str">
        <x:v>rtlCode/uart_top.v</x:v>
      </x:c>
      <x:c r="O185" s="26" t="str">
        <x:v>https://github.com/kapiltrip/UART-/blob/5f65f99cf43ed317f18874503046f994d5038c65/rtlCode/uart_top.v</x:v>
      </x:c>
      <x:c r="P185" s="15" t="str">
        <x:f>IF(B185="Done",IF(OR(J185="",K185="",L185=""),"Add run evidence","Recorded"),IF(OR(B185="Blocked",B185="N/A"),IF(M185="","Add reason","Reason recorded"),""))</x:f>
      </x:c>
      <x:c r="Q185" s="15" t="str">
        <x:v>5f65f99cf43ed317f18874503046f994d5038c65</x:v>
      </x:c>
    </x:row>
    <x:row r="186" ht="86" customHeight="1">
      <x:c r="A186" s="4" t="str">
        <x:v>UART-037</x:v>
      </x:c>
      <x:c r="B186" s="19" t="str">
        <x:v>Pending</x:v>
      </x:c>
      <x:c r="C186" s="20" t="str">
        <x:v>P0</x:v>
      </x:c>
      <x:c r="D186" s="4" t="str">
        <x:v>UART-</x:v>
      </x:c>
      <x:c r="E186" s="4" t="str">
        <x:v>Buffered UART loopback</x:v>
      </x:c>
      <x:c r="F186" s="4" t="str">
        <x:v>TX overflow characterization</x:v>
      </x:c>
      <x:c r="G186" s="4" t="str">
        <x:v>clk, wr_en, data_in, busy, tx_start</x:v>
      </x:c>
      <x:c r="H186" s="4" t="str">
        <x:v>Stop or greatly slow baud progress; offer more bytes than the 16-entry TX FIFO plus any active transmitter byte can hold. Track tx_fifo.full internally.</x:v>
      </x:c>
      <x:c r="I186" s="4" t="str">
        <x:v>Writes while tx_fifo.full=1 are dropped. The top does not expose full or an acceptance indication. Record offered versus accepted versus received counts; do not claim lossless arbitrary bursts.</x:v>
      </x:c>
      <x:c r="J186" s="17"/>
      <x:c r="K186" s="24"/>
      <x:c r="L186" s="17"/>
      <x:c r="M186" s="17"/>
      <x:c r="N186" s="4" t="str">
        <x:v>rtlCode/uart_top.v</x:v>
      </x:c>
      <x:c r="O186" s="25" t="str">
        <x:v>https://github.com/kapiltrip/UART-/blob/5f65f99cf43ed317f18874503046f994d5038c65/rtlCode/uart_top.v</x:v>
      </x:c>
      <x:c r="P186" s="4" t="str">
        <x:f>IF(B186="Done",IF(OR(J186="",K186="",L186=""),"Add run evidence","Recorded"),IF(OR(B186="Blocked",B186="N/A"),IF(M186="","Add reason","Reason recorded"),""))</x:f>
      </x:c>
      <x:c r="Q186" s="4" t="str">
        <x:v>5f65f99cf43ed317f18874503046f994d5038c65</x:v>
      </x:c>
    </x:row>
    <x:row r="187" ht="86" customHeight="1">
      <x:c r="A187" s="15" t="str">
        <x:v>UART-038</x:v>
      </x:c>
      <x:c r="B187" s="19" t="str">
        <x:v>Pending</x:v>
      </x:c>
      <x:c r="C187" s="21" t="str">
        <x:v>P0</x:v>
      </x:c>
      <x:c r="D187" s="15" t="str">
        <x:v>UART-</x:v>
      </x:c>
      <x:c r="E187" s="15" t="str">
        <x:v>Buffered UART loopback</x:v>
      </x:c>
      <x:c r="F187" s="15" t="str">
        <x:v>RX full and receiver-register overrun</x:v>
      </x:c>
      <x:c r="G187" s="15" t="str">
        <x:v>clk, wr_en, data_in, rdy, rdy_clr, data_out, rx_byte_ready, rx_fifo_full</x:v>
      </x:c>
      <x:c r="H187" s="15" t="str">
        <x:v>With rdy_clr=0, send enough frames to fill RX FIFO, then allow two more frame completions before freeing a slot.</x:v>
      </x:c>
      <x:c r="I187" s="15" t="str">
        <x:v>RX FIFO protects its stored 16 words, but the receiver holds only one additional result. Later frames can overwrite that pending result. Record the loss boundary and need for flow control.</x:v>
      </x:c>
      <x:c r="J187" s="17"/>
      <x:c r="K187" s="24"/>
      <x:c r="L187" s="17"/>
      <x:c r="M187" s="17"/>
      <x:c r="N187" s="15" t="str">
        <x:v>rtlCode/uart_top.v</x:v>
      </x:c>
      <x:c r="O187" s="26" t="str">
        <x:v>https://github.com/kapiltrip/UART-/blob/5f65f99cf43ed317f18874503046f994d5038c65/rtlCode/uart_top.v</x:v>
      </x:c>
      <x:c r="P187" s="15" t="str">
        <x:f>IF(B187="Done",IF(OR(J187="",K187="",L187=""),"Add run evidence","Recorded"),IF(OR(B187="Blocked",B187="N/A"),IF(M187="","Add reason","Reason recorded"),""))</x:f>
      </x:c>
      <x:c r="Q187" s="15" t="str">
        <x:v>5f65f99cf43ed317f18874503046f994d5038c65</x:v>
      </x:c>
    </x:row>
    <x:row r="188" ht="86" customHeight="1">
      <x:c r="A188" s="4" t="str">
        <x:v>UART-039</x:v>
      </x:c>
      <x:c r="B188" s="19" t="str">
        <x:v>Pending</x:v>
      </x:c>
      <x:c r="C188" s="4" t="str">
        <x:v>P1</x:v>
      </x:c>
      <x:c r="D188" s="4" t="str">
        <x:v>UART-</x:v>
      </x:c>
      <x:c r="E188" s="4" t="str">
        <x:v>Buffered UART loopback</x:v>
      </x:c>
      <x:c r="F188" s="4" t="str">
        <x:v>One pending RX byte after space opens</x:v>
      </x:c>
      <x:c r="G188" s="4" t="str">
        <x:v>clk, rdy_clr, rdy, data_out, rx_fifo_write, rx_fifo_read</x:v>
      </x:c>
      <x:c r="H188" s="4" t="str">
        <x:v>Fill RX FIFO, allow exactly one pending received byte, then pop one word and stop further input frames.</x:v>
      </x:c>
      <x:c r="I188" s="4" t="str">
        <x:v>After full clears, the pending byte enters once and rx_byte_ready is cleared. There is a clock of recovery because acceptance uses pre-edge full.</x:v>
      </x:c>
      <x:c r="J188" s="17"/>
      <x:c r="K188" s="24"/>
      <x:c r="L188" s="17"/>
      <x:c r="M188" s="17"/>
      <x:c r="N188" s="4" t="str">
        <x:v>rtlCode/uart_top.v</x:v>
      </x:c>
      <x:c r="O188" s="25" t="str">
        <x:v>https://github.com/kapiltrip/UART-/blob/5f65f99cf43ed317f18874503046f994d5038c65/rtlCode/uart_top.v</x:v>
      </x:c>
      <x:c r="P188" s="4" t="str">
        <x:f>IF(B188="Done",IF(OR(J188="",K188="",L188=""),"Add run evidence","Recorded"),IF(OR(B188="Blocked",B188="N/A"),IF(M188="","Add reason","Reason recorded"),""))</x:f>
      </x:c>
      <x:c r="Q188" s="4" t="str">
        <x:v>5f65f99cf43ed317f18874503046f994d5038c65</x:v>
      </x:c>
    </x:row>
    <x:row r="189" ht="86" customHeight="1">
      <x:c r="A189" s="15" t="str">
        <x:v>UART-040</x:v>
      </x:c>
      <x:c r="B189" s="19" t="str">
        <x:v>Pending</x:v>
      </x:c>
      <x:c r="C189" s="15" t="str">
        <x:v>P1</x:v>
      </x:c>
      <x:c r="D189" s="15" t="str">
        <x:v>UART-</x:v>
      </x:c>
      <x:c r="E189" s="15" t="str">
        <x:v>Buffered UART loopback</x:v>
      </x:c>
      <x:c r="F189" s="15" t="str">
        <x:v>Held consume request</x:v>
      </x:c>
      <x:c r="G189" s="15" t="str">
        <x:v>clk, rdy_clr, rdy, data_out</x:v>
      </x:c>
      <x:c r="H189" s="15" t="str">
        <x:v>Buffer several received bytes and hold rdy_clr=1 across multiple clk edges.</x:v>
      </x:c>
      <x:c r="I189" s="15" t="str">
        <x:v>One byte is popped per nonempty clk edge, not one per rising edge of rdy_clr. When empty, further requests are ignored.</x:v>
      </x:c>
      <x:c r="J189" s="17"/>
      <x:c r="K189" s="24"/>
      <x:c r="L189" s="17"/>
      <x:c r="M189" s="17"/>
      <x:c r="N189" s="15" t="str">
        <x:v>rtlCode/uart_top.v</x:v>
      </x:c>
      <x:c r="O189" s="26" t="str">
        <x:v>https://github.com/kapiltrip/UART-/blob/5f65f99cf43ed317f18874503046f994d5038c65/rtlCode/uart_top.v</x:v>
      </x:c>
      <x:c r="P189" s="15" t="str">
        <x:f>IF(B189="Done",IF(OR(J189="",K189="",L189=""),"Add run evidence","Recorded"),IF(OR(B189="Blocked",B189="N/A"),IF(M189="","Add reason","Reason recorded"),""))</x:f>
      </x:c>
      <x:c r="Q189" s="15" t="str">
        <x:v>5f65f99cf43ed317f18874503046f994d5038c65</x:v>
      </x:c>
    </x:row>
    <x:row r="190" ht="86" customHeight="1">
      <x:c r="A190" s="4" t="str">
        <x:v>UART-041</x:v>
      </x:c>
      <x:c r="B190" s="19" t="str">
        <x:v>Pending</x:v>
      </x:c>
      <x:c r="C190" s="4" t="str">
        <x:v>P1</x:v>
      </x:c>
      <x:c r="D190" s="4" t="str">
        <x:v>UART-</x:v>
      </x:c>
      <x:c r="E190" s="4" t="str">
        <x:v>Buffered UART loopback</x:v>
      </x:c>
      <x:c r="F190" s="4" t="str">
        <x:v>Reset aborts TX and RX queues</x:v>
      </x:c>
      <x:c r="G190" s="4" t="str">
        <x:v>clk, reset, wr_en, data_in, rdy, rdy_clr, data_out, busy</x:v>
      </x:c>
      <x:c r="H190" s="4" t="str">
        <x:v>Reset with queued TX data and unread RX data; release with controls low, then send a fresh known sequence.</x:v>
      </x:c>
      <x:c r="I190" s="4" t="str">
        <x:v>Both queues flush logically, busy=0 and rdy=0. Only post-reset accepted bytes may be counted; data_out while rdy=0 is not valid.</x:v>
      </x:c>
      <x:c r="J190" s="17"/>
      <x:c r="K190" s="24"/>
      <x:c r="L190" s="17"/>
      <x:c r="M190" s="17"/>
      <x:c r="N190" s="4" t="str">
        <x:v>rtlCode/uart_top.v</x:v>
      </x:c>
      <x:c r="O190" s="25" t="str">
        <x:v>https://github.com/kapiltrip/UART-/blob/5f65f99cf43ed317f18874503046f994d5038c65/rtlCode/uart_top.v</x:v>
      </x:c>
      <x:c r="P190" s="4" t="str">
        <x:f>IF(B190="Done",IF(OR(J190="",K190="",L190=""),"Add run evidence","Recorded"),IF(OR(B190="Blocked",B190="N/A"),IF(M190="","Add reason","Reason recorded"),""))</x:f>
      </x:c>
      <x:c r="Q190" s="4" t="str">
        <x:v>5f65f99cf43ed317f18874503046f994d5038c65</x:v>
      </x:c>
    </x:row>
    <x:row r="191" ht="86" customHeight="1">
      <x:c r="A191" s="15" t="str">
        <x:v>UL-022</x:v>
      </x:c>
      <x:c r="B191" s="19" t="str">
        <x:v>Pending</x:v>
      </x:c>
      <x:c r="C191" s="21" t="str">
        <x:v>P0</x:v>
      </x:c>
      <x:c r="D191" s="15" t="str">
        <x:v>UART-legacy</x:v>
      </x:c>
      <x:c r="E191" s="15" t="str">
        <x:v>Legacy UART loopback</x:v>
      </x:c>
      <x:c r="F191" s="15" t="str">
        <x:v>Loopback and explicit ready clear</x:v>
      </x:c>
      <x:c r="G191" s="15" t="str">
        <x:v>clk, rst, wr_en, data_in, ready, rdy_clr, data_out, busy</x:v>
      </x:c>
      <x:c r="H191" s="15" t="str">
        <x:v>Reset, send 47 only while busy=0, wait for ready, compare data_out, clear ready, then repeat with 55.</x:v>
      </x:c>
      <x:c r="I191" s="15" t="str">
        <x:v>47 then 55 are received. ready remains high until rdy_clr. Use a watchdog; the existing print-only bench is not proof of equality.</x:v>
      </x:c>
      <x:c r="J191" s="17"/>
      <x:c r="K191" s="24"/>
      <x:c r="L191" s="17"/>
      <x:c r="M191" s="17"/>
      <x:c r="N191" s="15" t="str">
        <x:v>uart_top_tb.v</x:v>
      </x:c>
      <x:c r="O191" s="26" t="str">
        <x:v>https://github.com/kapiltrip/UART-legacy/blob/28d439c91eca72edba0ce269ba01812ad02c2900/uart_top_tb.v</x:v>
      </x:c>
      <x:c r="P191" s="15" t="str">
        <x:f>IF(B191="Done",IF(OR(J191="",K191="",L191=""),"Add run evidence","Recorded"),IF(OR(B191="Blocked",B191="N/A"),IF(M191="","Add reason","Reason recorded"),""))</x:f>
      </x:c>
      <x:c r="Q191" s="15" t="str">
        <x:v>28d439c91eca72edba0ce269ba01812ad02c2900</x:v>
      </x:c>
    </x:row>
    <x:row r="192" ht="86" customHeight="1">
      <x:c r="A192" s="4" t="str">
        <x:v>UL-023</x:v>
      </x:c>
      <x:c r="B192" s="19" t="str">
        <x:v>Pending</x:v>
      </x:c>
      <x:c r="C192" s="4" t="str">
        <x:v>P1</x:v>
      </x:c>
      <x:c r="D192" s="4" t="str">
        <x:v>UART-legacy</x:v>
      </x:c>
      <x:c r="E192" s="4" t="str">
        <x:v>Legacy UART loopback</x:v>
      </x:c>
      <x:c r="F192" s="4" t="str">
        <x:v>No implicit transmit queue</x:v>
      </x:c>
      <x:c r="G192" s="4" t="str">
        <x:v>clk, wr_en, data_in, busy, ready</x:v>
      </x:c>
      <x:c r="H192" s="4" t="str">
        <x:v>Pulse wr_en several times while busy=1 and compare how many frames complete.</x:v>
      </x:c>
      <x:c r="I192" s="4" t="str">
        <x:v>There is no TX FIFO in this version; only a request accepted in transmitter IDLE is sent. Busy-time one-cycle requests are ignored.</x:v>
      </x:c>
      <x:c r="J192" s="17"/>
      <x:c r="K192" s="24"/>
      <x:c r="L192" s="17"/>
      <x:c r="M192" s="17"/>
      <x:c r="N192" s="4" t="str">
        <x:v>uart_top_tb.v</x:v>
      </x:c>
      <x:c r="O192" s="25" t="str">
        <x:v>https://github.com/kapiltrip/UART-legacy/blob/28d439c91eca72edba0ce269ba01812ad02c2900/uart_top_tb.v</x:v>
      </x:c>
      <x:c r="P192" s="4" t="str">
        <x:f>IF(B192="Done",IF(OR(J192="",K192="",L192=""),"Add run evidence","Recorded"),IF(OR(B192="Blocked",B192="N/A"),IF(M192="","Add reason","Reason recorded"),""))</x:f>
      </x:c>
      <x:c r="Q192" s="4" t="str">
        <x:v>28d439c91eca72edba0ce269ba01812ad02c2900</x:v>
      </x:c>
    </x:row>
    <x:row r="193" ht="86" customHeight="1">
      <x:c r="A193" s="15" t="str">
        <x:v>AF-015</x:v>
      </x:c>
      <x:c r="B193" s="19" t="str">
        <x:v>Pending</x:v>
      </x:c>
      <x:c r="C193" s="21" t="str">
        <x:v>P0</x:v>
      </x:c>
      <x:c r="D193" s="15" t="str">
        <x:v>AsynchronousFifo</x:v>
      </x:c>
      <x:c r="E193" s="15" t="str">
        <x:v>1101 sequence detector</x:v>
      </x:c>
      <x:c r="F193" s="15" t="str">
        <x:v>Match and overlap</x:v>
      </x:c>
      <x:c r="G193" s="15" t="str">
        <x:v>clk, reset, data_in, detected</x:v>
      </x:c>
      <x:c r="H193" s="15" t="str">
        <x:v>Reset and drive 1101101 one bit per cycle away from posedge clk. Inspect detected before the edge consuming each final 1.</x:v>
      </x:c>
      <x:c r="I193" s="15" t="str">
        <x:v>Matches finish at bit positions 4 and 7. This is a combinational Mealy output and can drop after the edge when state changes.</x:v>
      </x:c>
      <x:c r="J193" s="17"/>
      <x:c r="K193" s="24"/>
      <x:c r="L193" s="17"/>
      <x:c r="M193" s="17"/>
      <x:c r="N193" s="15" t="str">
        <x:v>mealy_1101_detector.v</x:v>
      </x:c>
      <x:c r="O193" s="26" t="str">
        <x:v>https://github.com/kapiltrip/AsynchronousFifo/blob/a60bcd212928103b2d81d8f2d4eae248ea2e3468/mealy_1101_detector.v</x:v>
      </x:c>
      <x:c r="P193" s="15" t="str">
        <x:f>IF(B193="Done",IF(OR(J193="",K193="",L193=""),"Add run evidence","Recorded"),IF(OR(B193="Blocked",B193="N/A"),IF(M193="","Add reason","Reason recorded"),""))</x:f>
      </x:c>
      <x:c r="Q193" s="15" t="str">
        <x:v>a60bcd212928103b2d81d8f2d4eae248ea2e3468</x:v>
      </x:c>
    </x:row>
    <x:row r="194" ht="86" customHeight="1">
      <x:c r="A194" s="4" t="str">
        <x:v>AF-016</x:v>
      </x:c>
      <x:c r="B194" s="19" t="str">
        <x:v>Pending</x:v>
      </x:c>
      <x:c r="C194" s="4" t="str">
        <x:v>P1</x:v>
      </x:c>
      <x:c r="D194" s="4" t="str">
        <x:v>AsynchronousFifo</x:v>
      </x:c>
      <x:c r="E194" s="4" t="str">
        <x:v>1101 sequence detector</x:v>
      </x:c>
      <x:c r="F194" s="4" t="str">
        <x:v>Near misses and partial reset</x:v>
      </x:c>
      <x:c r="G194" s="4" t="str">
        <x:v>clk, reset, data_in, detected</x:v>
      </x:c>
      <x:c r="H194" s="4" t="str">
        <x:v>Send 0000,1111,1100,1011, then reset after prefix 110 and continue with 1.</x:v>
      </x:c>
      <x:c r="I194" s="4" t="str">
        <x:v>No false match on a near miss or a prefix discarded by reset. Reset is asynchronous active high.</x:v>
      </x:c>
      <x:c r="J194" s="17"/>
      <x:c r="K194" s="24"/>
      <x:c r="L194" s="17"/>
      <x:c r="M194" s="17"/>
      <x:c r="N194" s="4" t="str">
        <x:v>mealy_1101_detector.v</x:v>
      </x:c>
      <x:c r="O194" s="25" t="str">
        <x:v>https://github.com/kapiltrip/AsynchronousFifo/blob/a60bcd212928103b2d81d8f2d4eae248ea2e3468/mealy_1101_detector.v</x:v>
      </x:c>
      <x:c r="P194" s="4" t="str">
        <x:f>IF(B194="Done",IF(OR(J194="",K194="",L194=""),"Add run evidence","Recorded"),IF(OR(B194="Blocked",B194="N/A"),IF(M194="","Add reason","Reason recorded"),""))</x:f>
      </x:c>
      <x:c r="Q194" s="4" t="str">
        <x:v>a60bcd212928103b2d81d8f2d4eae248ea2e3468</x:v>
      </x:c>
    </x:row>
    <x:row r="195" ht="86" customHeight="1">
      <x:c r="A195" s="15" t="str">
        <x:v>AF-017</x:v>
      </x:c>
      <x:c r="B195" s="19" t="str">
        <x:v>Pending</x:v>
      </x:c>
      <x:c r="C195" s="15" t="str">
        <x:v>P2</x:v>
      </x:c>
      <x:c r="D195" s="15" t="str">
        <x:v>AsynchronousFifo</x:v>
      </x:c>
      <x:c r="E195" s="15" t="str">
        <x:v>1101 sequence detector</x:v>
      </x:c>
      <x:c r="F195" s="15" t="str">
        <x:v>Long stream reference window</x:v>
      </x:c>
      <x:c r="G195" s="15" t="str">
        <x:v>clk, reset, data_in, detected</x:v>
      </x:c>
      <x:c r="H195" s="15" t="str">
        <x:v>Compare 1000 random bits against a four-bit rolling reference window, with recorded seed.</x:v>
      </x:c>
      <x:c r="I195" s="15" t="str">
        <x:v>detected matches every occurrence of 1101 with overlap and the specified pre-edge sampling.</x:v>
      </x:c>
      <x:c r="J195" s="17"/>
      <x:c r="K195" s="24"/>
      <x:c r="L195" s="17"/>
      <x:c r="M195" s="17"/>
      <x:c r="N195" s="15" t="str">
        <x:v>mealy_1101_detector.v</x:v>
      </x:c>
      <x:c r="O195" s="26" t="str">
        <x:v>https://github.com/kapiltrip/AsynchronousFifo/blob/a60bcd212928103b2d81d8f2d4eae248ea2e3468/mealy_1101_detector.v</x:v>
      </x:c>
      <x:c r="P195" s="15" t="str">
        <x:f>IF(B195="Done",IF(OR(J195="",K195="",L195=""),"Add run evidence","Recorded"),IF(OR(B195="Blocked",B195="N/A"),IF(M195="","Add reason","Reason recorded"),""))</x:f>
      </x:c>
      <x:c r="Q195" s="15" t="str">
        <x:v>a60bcd212928103b2d81d8f2d4eae248ea2e3468</x:v>
      </x:c>
    </x:row>
    <x:row r="196" ht="86" customHeight="1">
      <x:c r="A196" s="4" t="str">
        <x:v>CPU-001</x:v>
      </x:c>
      <x:c r="B196" s="19" t="str">
        <x:v>Pending</x:v>
      </x:c>
      <x:c r="C196" s="20" t="str">
        <x:v>P0</x:v>
      </x:c>
      <x:c r="D196" s="4" t="str">
        <x:v>mips-processor</x:v>
      </x:c>
      <x:c r="E196" s="4" t="str">
        <x:v>Processor ALU</x:v>
      </x:c>
      <x:c r="F196" s="4" t="str">
        <x:v>Every supported operation</x:v>
      </x:c>
      <x:c r="G196" s="4" t="str">
        <x:v>opcode, a, b, result</x:v>
      </x:c>
      <x:c r="H196" s="4" t="str">
        <x:v>Exercise ADD/ADDI, SUB/SUBI, AND, OR, SLT/SLTI, MUL and address/branch additions with 0,1,all ones,80000000 and 7FFFFFFF.</x:v>
      </x:c>
      <x:c r="I196" s="4" t="str">
        <x:v>Use an independent 32-bit arithmetic model. Add/subtract/multiply truncate to 32 bits. SLT/SLTI use UNSIGNED comparison in this RTL; 80000000 is greater than 7FFFFFFF.</x:v>
      </x:c>
      <x:c r="J196" s="17"/>
      <x:c r="K196" s="24"/>
      <x:c r="L196" s="17"/>
      <x:c r="M196" s="17"/>
      <x:c r="N196" s="4" t="str">
        <x:v>modellingOftheProcessor/alu.v</x:v>
      </x:c>
      <x:c r="O196" s="25" t="str">
        <x:v>https://github.com/kapiltrip/mips-processor/blob/a6f8a8843b90f68ce59dfabafdfd47f6e3331f8a/modellingOftheProcessor/alu.v</x:v>
      </x:c>
      <x:c r="P196" s="4" t="str">
        <x:f>IF(B196="Done",IF(OR(J196="",K196="",L196=""),"Add run evidence","Recorded"),IF(OR(B196="Blocked",B196="N/A"),IF(M196="","Add reason","Reason recorded"),""))</x:f>
      </x:c>
      <x:c r="Q196" s="4" t="str">
        <x:v>a6f8a8843b90f68ce59dfabafdfd47f6e3331f8a</x:v>
      </x:c>
    </x:row>
    <x:row r="197" ht="86" customHeight="1">
      <x:c r="A197" s="15" t="str">
        <x:v>CPU-002</x:v>
      </x:c>
      <x:c r="B197" s="19" t="str">
        <x:v>Pending</x:v>
      </x:c>
      <x:c r="C197" s="15" t="str">
        <x:v>P1</x:v>
      </x:c>
      <x:c r="D197" s="15" t="str">
        <x:v>mips-processor</x:v>
      </x:c>
      <x:c r="E197" s="15" t="str">
        <x:v>Processor ALU</x:v>
      </x:c>
      <x:c r="F197" s="15" t="str">
        <x:v>Unsupported opcode</x:v>
      </x:c>
      <x:c r="G197" s="15" t="str">
        <x:v>opcode, a, b, result</x:v>
      </x:c>
      <x:c r="H197" s="15" t="str">
        <x:v>Sweep all 64 opcodes, including values absent from the ALU case table.</x:v>
      </x:c>
      <x:c r="I197" s="15" t="str">
        <x:v>Unimplemented opcodes deliberately produce X. The controller maps unsupported opcodes to HALT; do not silently label unknown ALU results zero.</x:v>
      </x:c>
      <x:c r="J197" s="17"/>
      <x:c r="K197" s="24"/>
      <x:c r="L197" s="17"/>
      <x:c r="M197" s="17"/>
      <x:c r="N197" s="15" t="str">
        <x:v>modellingOftheProcessor/alu.v</x:v>
      </x:c>
      <x:c r="O197" s="26" t="str">
        <x:v>https://github.com/kapiltrip/mips-processor/blob/a6f8a8843b90f68ce59dfabafdfd47f6e3331f8a/modellingOftheProcessor/alu.v</x:v>
      </x:c>
      <x:c r="P197" s="15" t="str">
        <x:f>IF(B197="Done",IF(OR(J197="",K197="",L197=""),"Add run evidence","Recorded"),IF(OR(B197="Blocked",B197="N/A"),IF(M197="","Add reason","Reason recorded"),""))</x:f>
      </x:c>
      <x:c r="Q197" s="15" t="str">
        <x:v>a6f8a8843b90f68ce59dfabafdfd47f6e3331f8a</x:v>
      </x:c>
    </x:row>
    <x:row r="198" ht="86" customHeight="1">
      <x:c r="A198" s="4" t="str">
        <x:v>CPU-003</x:v>
      </x:c>
      <x:c r="B198" s="19" t="str">
        <x:v>Pending</x:v>
      </x:c>
      <x:c r="C198" s="20" t="str">
        <x:v>P0</x:v>
      </x:c>
      <x:c r="D198" s="4" t="str">
        <x:v>mips-processor</x:v>
      </x:c>
      <x:c r="E198" s="4" t="str">
        <x:v>Processor decode</x:v>
      </x:c>
      <x:c r="F198" s="4" t="str">
        <x:v>Complete opcode classification</x:v>
      </x:c>
      <x:c r="G198" s="4" t="str">
        <x:v>opcode, instr_type</x:v>
      </x:c>
      <x:c r="H198" s="4" t="str">
        <x:v>Sweep all 64 opcode values and compare against the supported instruction list.</x:v>
      </x:c>
      <x:c r="I198" s="4" t="str">
        <x:v>0..5 -&gt; RR_ALU=0; 10..12 -&gt; RM_ALU=1; 13 -&gt; LOAD=2; 14 -&gt; STORE=3; 15..16 -&gt; BRANCH=4; 63 and all unsupported values -&gt; HALT=5.</x:v>
      </x:c>
      <x:c r="J198" s="17"/>
      <x:c r="K198" s="24"/>
      <x:c r="L198" s="17"/>
      <x:c r="M198" s="17"/>
      <x:c r="N198" s="4" t="str">
        <x:v>modellingOftheProcessor/control_unit.v</x:v>
      </x:c>
      <x:c r="O198" s="25" t="str">
        <x:v>https://github.com/kapiltrip/mips-processor/blob/a6f8a8843b90f68ce59dfabafdfd47f6e3331f8a/modellingOftheProcessor/control_unit.v</x:v>
      </x:c>
      <x:c r="P198" s="4" t="str">
        <x:f>IF(B198="Done",IF(OR(J198="",K198="",L198=""),"Add run evidence","Recorded"),IF(OR(B198="Blocked",B198="N/A"),IF(M198="","Add reason","Reason recorded"),""))</x:f>
      </x:c>
      <x:c r="Q198" s="4" t="str">
        <x:v>a6f8a8843b90f68ce59dfabafdfd47f6e3331f8a</x:v>
      </x:c>
    </x:row>
    <x:row r="199" ht="86" customHeight="1">
      <x:c r="A199" s="15" t="str">
        <x:v>CPU-004</x:v>
      </x:c>
      <x:c r="B199" s="19" t="str">
        <x:v>Pending</x:v>
      </x:c>
      <x:c r="C199" s="21" t="str">
        <x:v>P0</x:v>
      </x:c>
      <x:c r="D199" s="15" t="str">
        <x:v>mips-processor</x:v>
      </x:c>
      <x:c r="E199" s="15" t="str">
        <x:v>Register file</x:v>
      </x:c>
      <x:c r="F199" s="15" t="str">
        <x:v>Both read ports and write enable</x:v>
      </x:c>
      <x:c r="G199" s="15" t="str">
        <x:v>clock, we, ra1, ra2, wa, wd, rd1, rd2</x:v>
      </x:c>
      <x:c r="H199" s="15" t="str">
        <x:v>Write distinct values into registers 1..31 on rising clock; independently sweep ra1 and ra2. Repeat updates with we=0.</x:v>
      </x:c>
      <x:c r="I199" s="15" t="str">
        <x:v>Both read ports are combinational and return the addressed last written value. we=0 leaves all registers unchanged.</x:v>
      </x:c>
      <x:c r="J199" s="17"/>
      <x:c r="K199" s="24"/>
      <x:c r="L199" s="17"/>
      <x:c r="M199" s="17"/>
      <x:c r="N199" s="15" t="str">
        <x:v>modellingOftheProcessor/regfile.v</x:v>
      </x:c>
      <x:c r="O199" s="26" t="str">
        <x:v>https://github.com/kapiltrip/mips-processor/blob/a6f8a8843b90f68ce59dfabafdfd47f6e3331f8a/modellingOftheProcessor/regfile.v</x:v>
      </x:c>
      <x:c r="P199" s="15" t="str">
        <x:f>IF(B199="Done",IF(OR(J199="",K199="",L199=""),"Add run evidence","Recorded"),IF(OR(B199="Blocked",B199="N/A"),IF(M199="","Add reason","Reason recorded"),""))</x:f>
      </x:c>
      <x:c r="Q199" s="15" t="str">
        <x:v>a6f8a8843b90f68ce59dfabafdfd47f6e3331f8a</x:v>
      </x:c>
    </x:row>
    <x:row r="200" ht="86" customHeight="1">
      <x:c r="A200" s="4" t="str">
        <x:v>CPU-005</x:v>
      </x:c>
      <x:c r="B200" s="19" t="str">
        <x:v>Pending</x:v>
      </x:c>
      <x:c r="C200" s="4" t="str">
        <x:v>P1</x:v>
      </x:c>
      <x:c r="D200" s="4" t="str">
        <x:v>mips-processor</x:v>
      </x:c>
      <x:c r="E200" s="4" t="str">
        <x:v>Register file</x:v>
      </x:c>
      <x:c r="F200" s="4" t="str">
        <x:v>Zero register and read/write collision</x:v>
      </x:c>
      <x:c r="G200" s="4" t="str">
        <x:v>clock, we, ra1, ra2, wa, wd, rd1, rd2</x:v>
      </x:c>
      <x:c r="H200" s="4" t="str">
        <x:v>Attempt to write wa=0 with nonzero wd. Also read a nonzero register while writing the same address at the clock edge.</x:v>
      </x:c>
      <x:c r="I200" s="4" t="str">
        <x:v>Register zero always reads 0 and ignores writes. A nonzero same-address read changes to the new stored value after the write NBA; it is not an extra-cycle registered read.</x:v>
      </x:c>
      <x:c r="J200" s="17"/>
      <x:c r="K200" s="24"/>
      <x:c r="L200" s="17"/>
      <x:c r="M200" s="17"/>
      <x:c r="N200" s="4" t="str">
        <x:v>modellingOftheProcessor/regfile.v</x:v>
      </x:c>
      <x:c r="O200" s="25" t="str">
        <x:v>https://github.com/kapiltrip/mips-processor/blob/a6f8a8843b90f68ce59dfabafdfd47f6e3331f8a/modellingOftheProcessor/regfile.v</x:v>
      </x:c>
      <x:c r="P200" s="4" t="str">
        <x:f>IF(B200="Done",IF(OR(J200="",K200="",L200=""),"Add run evidence","Recorded"),IF(OR(B200="Blocked",B200="N/A"),IF(M200="","Add reason","Reason recorded"),""))</x:f>
      </x:c>
      <x:c r="Q200" s="4" t="str">
        <x:v>a6f8a8843b90f68ce59dfabafdfd47f6e3331f8a</x:v>
      </x:c>
    </x:row>
    <x:row r="201" ht="86" customHeight="1">
      <x:c r="A201" s="15" t="str">
        <x:v>CPU-006</x:v>
      </x:c>
      <x:c r="B201" s="19" t="str">
        <x:v>Pending</x:v>
      </x:c>
      <x:c r="C201" s="21" t="str">
        <x:v>P0</x:v>
      </x:c>
      <x:c r="D201" s="15" t="str">
        <x:v>mips-processor</x:v>
      </x:c>
      <x:c r="E201" s="15" t="str">
        <x:v>Processor memory</x:v>
      </x:c>
      <x:c r="F201" s="15" t="str">
        <x:v>Word addressing and independent reads</x:v>
      </x:c>
      <x:c r="G201" s="15" t="str">
        <x:v>clock, instr_addr, instr_out, data_addr, data_in, data_out, data_we</x:v>
      </x:c>
      <x:c r="H201" s="15" t="str">
        <x:v>Write addresses 0,1,1023, then vary instruction/data addresses independently; compare against 1024-word reference memory.</x:v>
      </x:c>
      <x:c r="I201" s="15" t="str">
        <x:v>Addresses index WORDS directly. No implicit division by four occurs. Reads are combinational; writes occur on posedge clock when data_we=1.</x:v>
      </x:c>
      <x:c r="J201" s="17"/>
      <x:c r="K201" s="24"/>
      <x:c r="L201" s="17"/>
      <x:c r="M201" s="17"/>
      <x:c r="N201" s="15" t="str">
        <x:v>modellingOftheProcessor/memory_interface.v</x:v>
      </x:c>
      <x:c r="O201" s="26" t="str">
        <x:v>https://github.com/kapiltrip/mips-processor/blob/a6f8a8843b90f68ce59dfabafdfd47f6e3331f8a/modellingOftheProcessor/memory_interface.v</x:v>
      </x:c>
      <x:c r="P201" s="15" t="str">
        <x:f>IF(B201="Done",IF(OR(J201="",K201="",L201=""),"Add run evidence","Recorded"),IF(OR(B201="Blocked",B201="N/A"),IF(M201="","Add reason","Reason recorded"),""))</x:f>
      </x:c>
      <x:c r="Q201" s="15" t="str">
        <x:v>a6f8a8843b90f68ce59dfabafdfd47f6e3331f8a</x:v>
      </x:c>
    </x:row>
    <x:row r="202" ht="86" customHeight="1">
      <x:c r="A202" s="4" t="str">
        <x:v>CPU-007</x:v>
      </x:c>
      <x:c r="B202" s="19" t="str">
        <x:v>Pending</x:v>
      </x:c>
      <x:c r="C202" s="4" t="str">
        <x:v>P1</x:v>
      </x:c>
      <x:c r="D202" s="4" t="str">
        <x:v>mips-processor</x:v>
      </x:c>
      <x:c r="E202" s="4" t="str">
        <x:v>Processor memory</x:v>
      </x:c>
      <x:c r="F202" s="4" t="str">
        <x:v>Out-of-range address policy</x:v>
      </x:c>
      <x:c r="G202" s="4" t="str">
        <x:v>instr_addr, instr_out, data_addr, data_out</x:v>
      </x:c>
      <x:c r="H202" s="4" t="str">
        <x:v>Try 1024 and a high 32-bit address in a separate negative run.</x:v>
      </x:c>
      <x:c r="I202" s="4" t="str">
        <x:v>The array has no address bounds response. Record X/warnings rather than inventing a bus-error output or wrapping addresses. An address restriction is needed for legal programs.</x:v>
      </x:c>
      <x:c r="J202" s="17"/>
      <x:c r="K202" s="24"/>
      <x:c r="L202" s="17"/>
      <x:c r="M202" s="17"/>
      <x:c r="N202" s="4" t="str">
        <x:v>modellingOftheProcessor/memory_interface.v</x:v>
      </x:c>
      <x:c r="O202" s="25" t="str">
        <x:v>https://github.com/kapiltrip/mips-processor/blob/a6f8a8843b90f68ce59dfabafdfd47f6e3331f8a/modellingOftheProcessor/memory_interface.v</x:v>
      </x:c>
      <x:c r="P202" s="4" t="str">
        <x:f>IF(B202="Done",IF(OR(J202="",K202="",L202=""),"Add run evidence","Recorded"),IF(OR(B202="Blocked",B202="N/A"),IF(M202="","Add reason","Reason recorded"),""))</x:f>
      </x:c>
      <x:c r="Q202" s="4" t="str">
        <x:v>a6f8a8843b90f68ce59dfabafdfd47f6e3331f8a</x:v>
      </x:c>
    </x:row>
    <x:row r="203" ht="86" customHeight="1">
      <x:c r="A203" s="15" t="str">
        <x:v>CPU-008</x:v>
      </x:c>
      <x:c r="B203" s="19" t="str">
        <x:v>Pending</x:v>
      </x:c>
      <x:c r="C203" s="21" t="str">
        <x:v>P0</x:v>
      </x:c>
      <x:c r="D203" s="15" t="str">
        <x:v>mips-processor</x:v>
      </x:c>
      <x:c r="E203" s="15" t="str">
        <x:v>Processor integration</x:v>
      </x:c>
      <x:c r="F203" s="15" t="str">
        <x:v>Existing arithmetic and memory programs</x:v>
      </x:c>
      <x:c r="G203" s="15" t="str">
        <x:v>clock1, clock2, PC, halted, rf_we, mem_we</x:v>
      </x:c>
      <x:c r="H203" s="15" t="str">
        <x:v>Run the existing add-three-numbers, factorial and memory-word benches separately with their instruction images. Keep the two clocks non-overlapping as those benches do.</x:v>
      </x:c>
      <x:c r="I203" s="15" t="str">
        <x:v>Compare final architectural register/memory values to an independent program calculation, not just printed messages. Record the exact instruction image, clock phases and cycle limit.</x:v>
      </x:c>
      <x:c r="J203" s="17"/>
      <x:c r="K203" s="24"/>
      <x:c r="L203" s="17"/>
      <x:c r="M203" s="17"/>
      <x:c r="N203" s="15" t="str">
        <x:v>modellingOftheProcessor/mips.v</x:v>
      </x:c>
      <x:c r="O203" s="26" t="str">
        <x:v>https://github.com/kapiltrip/mips-processor/blob/a6f8a8843b90f68ce59dfabafdfd47f6e3331f8a/modellingOftheProcessor/mips.v</x:v>
      </x:c>
      <x:c r="P203" s="15" t="str">
        <x:f>IF(B203="Done",IF(OR(J203="",K203="",L203=""),"Add run evidence","Recorded"),IF(OR(B203="Blocked",B203="N/A"),IF(M203="","Add reason","Reason recorded"),""))</x:f>
      </x:c>
      <x:c r="Q203" s="15" t="str">
        <x:v>a6f8a8843b90f68ce59dfabafdfd47f6e3331f8a</x:v>
      </x:c>
    </x:row>
    <x:row r="204" ht="86" customHeight="1">
      <x:c r="A204" s="4" t="str">
        <x:v>CPU-009</x:v>
      </x:c>
      <x:c r="B204" s="19" t="str">
        <x:v>Pending</x:v>
      </x:c>
      <x:c r="C204" s="20" t="str">
        <x:v>P0</x:v>
      </x:c>
      <x:c r="D204" s="4" t="str">
        <x:v>mips-processor</x:v>
      </x:c>
      <x:c r="E204" s="4" t="str">
        <x:v>Processor integration</x:v>
      </x:c>
      <x:c r="F204" s="4" t="str">
        <x:v>Branch taken and not taken</x:v>
      </x:c>
      <x:c r="G204" s="4" t="str">
        <x:v>clock1, clock2, PC, taken_branch, EX_MEM_cond, rf_we, mem_we</x:v>
      </x:c>
      <x:c r="H204" s="4" t="str">
        <x:v>Exercise BEQZ and BNEQZ with zero and nonzero operands, positive/negative offsets and a store/writeback behind a taken branch.</x:v>
      </x:c>
      <x:c r="I204" s="4" t="str">
        <x:v>Correct target instruction is fetched; side effects suppressed by taken_branch do not update architectural state. Check branch target in word units and sign-extended immediate.</x:v>
      </x:c>
      <x:c r="J204" s="17"/>
      <x:c r="K204" s="24"/>
      <x:c r="L204" s="17"/>
      <x:c r="M204" s="17"/>
      <x:c r="N204" s="4" t="str">
        <x:v>modellingOftheProcessor/mips.v</x:v>
      </x:c>
      <x:c r="O204" s="25" t="str">
        <x:v>https://github.com/kapiltrip/mips-processor/blob/a6f8a8843b90f68ce59dfabafdfd47f6e3331f8a/modellingOftheProcessor/mips.v</x:v>
      </x:c>
      <x:c r="P204" s="4" t="str">
        <x:f>IF(B204="Done",IF(OR(J204="",K204="",L204=""),"Add run evidence","Recorded"),IF(OR(B204="Blocked",B204="N/A"),IF(M204="","Add reason","Reason recorded"),""))</x:f>
      </x:c>
      <x:c r="Q204" s="4" t="str">
        <x:v>a6f8a8843b90f68ce59dfabafdfd47f6e3331f8a</x:v>
      </x:c>
    </x:row>
    <x:row r="205" ht="86" customHeight="1">
      <x:c r="A205" s="15" t="str">
        <x:v>CPU-010</x:v>
      </x:c>
      <x:c r="B205" s="19" t="str">
        <x:v>Pending</x:v>
      </x:c>
      <x:c r="C205" s="15" t="str">
        <x:v>P1</x:v>
      </x:c>
      <x:c r="D205" s="15" t="str">
        <x:v>mips-processor</x:v>
      </x:c>
      <x:c r="E205" s="15" t="str">
        <x:v>Processor integration</x:v>
      </x:c>
      <x:c r="F205" s="15" t="str">
        <x:v>Data dependency and pipeline limits</x:v>
      </x:c>
      <x:c r="G205" s="15" t="str">
        <x:v>clock1, clock2, ID_EX_A, ID_EX_B, MEM_WB_ALUOut, rf_we</x:v>
      </x:c>
      <x:c r="H205" s="15" t="str">
        <x:v>Compare dependent instruction pairs with zero, one and enough separating no-ops, including load-use and branch-use.</x:v>
      </x:c>
      <x:c r="I205" s="15" t="str">
        <x:v>There is no explicit hazard/forwarding unit. Use a sequential reference to reveal unsupported schedules; document required software spacing rather than assuming automatic stalls.</x:v>
      </x:c>
      <x:c r="J205" s="17"/>
      <x:c r="K205" s="24"/>
      <x:c r="L205" s="17"/>
      <x:c r="M205" s="17"/>
      <x:c r="N205" s="15" t="str">
        <x:v>modellingOftheProcessor/mips.v</x:v>
      </x:c>
      <x:c r="O205" s="26" t="str">
        <x:v>https://github.com/kapiltrip/mips-processor/blob/a6f8a8843b90f68ce59dfabafdfd47f6e3331f8a/modellingOftheProcessor/mips.v</x:v>
      </x:c>
      <x:c r="P205" s="15" t="str">
        <x:f>IF(B205="Done",IF(OR(J205="",K205="",L205=""),"Add run evidence","Recorded"),IF(OR(B205="Blocked",B205="N/A"),IF(M205="","Add reason","Reason recorded"),""))</x:f>
      </x:c>
      <x:c r="Q205" s="15" t="str">
        <x:v>a6f8a8843b90f68ce59dfabafdfd47f6e3331f8a</x:v>
      </x:c>
    </x:row>
    <x:row r="206" ht="86" customHeight="1">
      <x:c r="A206" s="4" t="str">
        <x:v>CPU-011</x:v>
      </x:c>
      <x:c r="B206" s="19" t="str">
        <x:v>Pending</x:v>
      </x:c>
      <x:c r="C206" s="4" t="str">
        <x:v>P1</x:v>
      </x:c>
      <x:c r="D206" s="4" t="str">
        <x:v>mips-processor</x:v>
      </x:c>
      <x:c r="E206" s="4" t="str">
        <x:v>Processor integration</x:v>
      </x:c>
      <x:c r="F206" s="4" t="str">
        <x:v>Halt and persistent state</x:v>
      </x:c>
      <x:c r="G206" s="4" t="str">
        <x:v>clock1, clock2, halted, PC, mem_we, rf_we</x:v>
      </x:c>
      <x:c r="H206" s="4" t="str">
        <x:v>Execute HLT after arithmetic, branch and memory operations. Continue both clocks for at least ten cycles.</x:v>
      </x:c>
      <x:c r="I206" s="4" t="str">
        <x:v>PC and pipeline stop after halt; no extra memory side effects occur. Inspect repeated writeback control as well as data. No reset port exists; each independent program needs a fresh initialized simulation.</x:v>
      </x:c>
      <x:c r="J206" s="17"/>
      <x:c r="K206" s="24"/>
      <x:c r="L206" s="17"/>
      <x:c r="M206" s="17"/>
      <x:c r="N206" s="4" t="str">
        <x:v>modellingOftheProcessor/mips.v</x:v>
      </x:c>
      <x:c r="O206" s="25" t="str">
        <x:v>https://github.com/kapiltrip/mips-processor/blob/a6f8a8843b90f68ce59dfabafdfd47f6e3331f8a/modellingOftheProcessor/mips.v</x:v>
      </x:c>
      <x:c r="P206" s="4" t="str">
        <x:f>IF(B206="Done",IF(OR(J206="",K206="",L206=""),"Add run evidence","Recorded"),IF(OR(B206="Blocked",B206="N/A"),IF(M206="","Add reason","Reason recorded"),""))</x:f>
      </x:c>
      <x:c r="Q206" s="4" t="str">
        <x:v>a6f8a8843b90f68ce59dfabafdfd47f6e3331f8a</x:v>
      </x:c>
    </x:row>
    <x:row r="207" ht="86" customHeight="1">
      <x:c r="A207" s="15" t="str">
        <x:v>GQ-016</x:v>
      </x:c>
      <x:c r="B207" s="19" t="str">
        <x:v>Pending</x:v>
      </x:c>
      <x:c r="C207" s="21" t="str">
        <x:v>P0</x:v>
      </x:c>
      <x:c r="D207" s="15" t="str">
        <x:v>GoodQuestions</x:v>
      </x:c>
      <x:c r="E207" s="15" t="str">
        <x:v>Full-throughput synchronous FIFO</x:v>
      </x:c>
      <x:c r="F207" s="15" t="str">
        <x:v>Reset and first usable cycle</x:v>
      </x:c>
      <x:c r="G207" s="15" t="str">
        <x:v>clk, rst_n, push, pop, data_in, data_out, fifo_full, fifo_empty</x:v>
      </x:c>
      <x:c r="H207" s="15" t="str">
        <x:v>Hold push=pop=0. Assert rst_n=0, clock the design, then release reset away from the active edge.</x:v>
      </x:c>
      <x:c r="I207" s="15" t="str">
        <x:v>After the specified reset event: fifo_empty=1 and fifo_full=0; pointers/count are reset. data_out is driven by an always-reading synchronous RAM, so it may change even when pop=0 or fifo_empty=1. Reset sets the RAM output to zero; after release it resumes reading even without a pop.</x:v>
      </x:c>
      <x:c r="J207" s="17"/>
      <x:c r="K207" s="24"/>
      <x:c r="L207" s="17"/>
      <x:c r="M207" s="17"/>
      <x:c r="N207" s="15" t="str">
        <x:v>qa/pdf_q12_q18/q18_fifo_sync_dualport.v</x:v>
      </x:c>
      <x:c r="O207" s="26" t="str">
        <x:v>https://github.com/kapiltrip/GoodQuestions/blob/a83e5a8a5d7262dd223ebbf4af2bf4c8434d9701/qa/pdf_q12_q18/q18_fifo_sync_dualport.v</x:v>
      </x:c>
      <x:c r="P207" s="15" t="str">
        <x:f>IF(B207="Done",IF(OR(J207="",K207="",L207=""),"Add run evidence","Recorded"),IF(OR(B207="Blocked",B207="N/A"),IF(M207="","Add reason","Reason recorded"),""))</x:f>
      </x:c>
      <x:c r="Q207" s="15" t="str">
        <x:v>a83e5a8a5d7262dd223ebbf4af2bf4c8434d9701</x:v>
      </x:c>
    </x:row>
    <x:row r="208" ht="86" customHeight="1">
      <x:c r="A208" s="4" t="str">
        <x:v>GQ-017</x:v>
      </x:c>
      <x:c r="B208" s="19" t="str">
        <x:v>Pending</x:v>
      </x:c>
      <x:c r="C208" s="20" t="str">
        <x:v>P0</x:v>
      </x:c>
      <x:c r="D208" s="4" t="str">
        <x:v>GoodQuestions</x:v>
      </x:c>
      <x:c r="E208" s="4" t="str">
        <x:v>Full-throughput synchronous FIFO</x:v>
      </x:c>
      <x:c r="F208" s="4" t="str">
        <x:v>Single write then single read</x:v>
      </x:c>
      <x:c r="G208" s="4" t="str">
        <x:v>clk, rst_n, push, pop, data_in, data_out, fifo_full, fifo_empty</x:v>
      </x:c>
      <x:c r="H208" s="4" t="str">
        <x:v>Write A5 with push=1 while fifo_full=0; disable write; request one read with pop=1 while fifo_empty=0.</x:v>
      </x:c>
      <x:c r="I208" s="4" t="str">
        <x:v>fifo_empty clears after the write and asserts after the read. Compare data_out AFTER the accepted clk edge and nonblocking updates, using the word at the pre-edge read pointer. Exactly one word is transferred.</x:v>
      </x:c>
      <x:c r="J208" s="17"/>
      <x:c r="K208" s="24"/>
      <x:c r="L208" s="17"/>
      <x:c r="M208" s="17"/>
      <x:c r="N208" s="4" t="str">
        <x:v>qa/pdf_q12_q18/q18_fifo_sync_dualport.v</x:v>
      </x:c>
      <x:c r="O208" s="25" t="str">
        <x:v>https://github.com/kapiltrip/GoodQuestions/blob/a83e5a8a5d7262dd223ebbf4af2bf4c8434d9701/qa/pdf_q12_q18/q18_fifo_sync_dualport.v</x:v>
      </x:c>
      <x:c r="P208" s="4" t="str">
        <x:f>IF(B208="Done",IF(OR(J208="",K208="",L208=""),"Add run evidence","Recorded"),IF(OR(B208="Blocked",B208="N/A"),IF(M208="","Add reason","Reason recorded"),""))</x:f>
      </x:c>
      <x:c r="Q208" s="4" t="str">
        <x:v>a83e5a8a5d7262dd223ebbf4af2bf4c8434d9701</x:v>
      </x:c>
    </x:row>
    <x:row r="209" ht="86" customHeight="1">
      <x:c r="A209" s="15" t="str">
        <x:v>GQ-018</x:v>
      </x:c>
      <x:c r="B209" s="19" t="str">
        <x:v>Pending</x:v>
      </x:c>
      <x:c r="C209" s="21" t="str">
        <x:v>P0</x:v>
      </x:c>
      <x:c r="D209" s="15" t="str">
        <x:v>GoodQuestions</x:v>
      </x:c>
      <x:c r="E209" s="15" t="str">
        <x:v>Full-throughput synchronous FIFO</x:v>
      </x:c>
      <x:c r="F209" s="15" t="str">
        <x:v>Ordering and mixed data</x:v>
      </x:c>
      <x:c r="G209" s="15" t="str">
        <x:v>clk, rst_n, push, pop, data_in, data_out, fifo_full, fifo_empty</x:v>
      </x:c>
      <x:c r="H209" s="15" t="str">
        <x:v>Write 10,22,35,48 with gaps, then drain using isolated and consecutive pop requests.</x:v>
      </x:c>
      <x:c r="I209" s="15" t="str">
        <x:v>Read values are 10,22,35,48 in that order. Compare data_out AFTER the accepted clk edge and nonblocking updates, using the word at the pre-edge read pointer.</x:v>
      </x:c>
      <x:c r="J209" s="17"/>
      <x:c r="K209" s="24"/>
      <x:c r="L209" s="17"/>
      <x:c r="M209" s="17"/>
      <x:c r="N209" s="15" t="str">
        <x:v>qa/pdf_q12_q18/q18_fifo_sync_dualport.v</x:v>
      </x:c>
      <x:c r="O209" s="26" t="str">
        <x:v>https://github.com/kapiltrip/GoodQuestions/blob/a83e5a8a5d7262dd223ebbf4af2bf4c8434d9701/qa/pdf_q12_q18/q18_fifo_sync_dualport.v</x:v>
      </x:c>
      <x:c r="P209" s="15" t="str">
        <x:f>IF(B209="Done",IF(OR(J209="",K209="",L209=""),"Add run evidence","Recorded"),IF(OR(B209="Blocked",B209="N/A"),IF(M209="","Add reason","Reason recorded"),""))</x:f>
      </x:c>
      <x:c r="Q209" s="15" t="str">
        <x:v>a83e5a8a5d7262dd223ebbf4af2bf4c8434d9701</x:v>
      </x:c>
    </x:row>
    <x:row r="210" ht="86" customHeight="1">
      <x:c r="A210" s="4" t="str">
        <x:v>GQ-019</x:v>
      </x:c>
      <x:c r="B210" s="19" t="str">
        <x:v>Pending</x:v>
      </x:c>
      <x:c r="C210" s="20" t="str">
        <x:v>P0</x:v>
      </x:c>
      <x:c r="D210" s="4" t="str">
        <x:v>GoodQuestions</x:v>
      </x:c>
      <x:c r="E210" s="4" t="str">
        <x:v>Full-throughput synchronous FIFO</x:v>
      </x:c>
      <x:c r="F210" s="4" t="str">
        <x:v>Fill to capacity and reject overflow</x:v>
      </x:c>
      <x:c r="G210" s="4" t="str">
        <x:v>clk, rst_n, push, pop, data_in, data_out, fifo_full, fifo_empty</x:v>
      </x:c>
      <x:c r="H210" s="4" t="str">
        <x:v>With pop=0, issue exactly DEPTH writes (2^ADDR_W (default 256)); check one below full and full. Attempt three further writes with distinct data, then drain.</x:v>
      </x:c>
      <x:c r="I210" s="4" t="str">
        <x:v>fifo_full asserts only after the last available slot is used. Extra writes cannot move the write pointer or replace queued data. Draining returns the original DEPTH values.</x:v>
      </x:c>
      <x:c r="J210" s="17"/>
      <x:c r="K210" s="24"/>
      <x:c r="L210" s="17"/>
      <x:c r="M210" s="17"/>
      <x:c r="N210" s="4" t="str">
        <x:v>qa/pdf_q12_q18/q18_fifo_sync_dualport.v</x:v>
      </x:c>
      <x:c r="O210" s="25" t="str">
        <x:v>https://github.com/kapiltrip/GoodQuestions/blob/a83e5a8a5d7262dd223ebbf4af2bf4c8434d9701/qa/pdf_q12_q18/q18_fifo_sync_dualport.v</x:v>
      </x:c>
      <x:c r="P210" s="4" t="str">
        <x:f>IF(B210="Done",IF(OR(J210="",K210="",L210=""),"Add run evidence","Recorded"),IF(OR(B210="Blocked",B210="N/A"),IF(M210="","Add reason","Reason recorded"),""))</x:f>
      </x:c>
      <x:c r="Q210" s="4" t="str">
        <x:v>a83e5a8a5d7262dd223ebbf4af2bf4c8434d9701</x:v>
      </x:c>
    </x:row>
    <x:row r="211" ht="86" customHeight="1">
      <x:c r="A211" s="15" t="str">
        <x:v>GQ-020</x:v>
      </x:c>
      <x:c r="B211" s="19" t="str">
        <x:v>Pending</x:v>
      </x:c>
      <x:c r="C211" s="21" t="str">
        <x:v>P0</x:v>
      </x:c>
      <x:c r="D211" s="15" t="str">
        <x:v>GoodQuestions</x:v>
      </x:c>
      <x:c r="E211" s="15" t="str">
        <x:v>Full-throughput synchronous FIFO</x:v>
      </x:c>
      <x:c r="F211" s="15" t="str">
        <x:v>Drain to empty and reject underflow</x:v>
      </x:c>
      <x:c r="G211" s="15" t="str">
        <x:v>clk, rst_n, push, pop, data_in, data_out, fifo_full, fifo_empty</x:v>
      </x:c>
      <x:c r="H211" s="15" t="str">
        <x:v>Fill and drain exactly DEPTH accepted reads. Keep pop=1 for three additional clocks with push=0.</x:v>
      </x:c>
      <x:c r="I211" s="15" t="str">
        <x:v>fifo_empty asserts on the last accepted pop; extra reads do not advance the read pointer or change occupancy. data_out is driven by an always-reading synchronous RAM, so it may change even when pop=0 or fifo_empty=1. Reset sets the RAM output to zero; after release it resumes reading even without a pop.</x:v>
      </x:c>
      <x:c r="J211" s="17"/>
      <x:c r="K211" s="24"/>
      <x:c r="L211" s="17"/>
      <x:c r="M211" s="17"/>
      <x:c r="N211" s="15" t="str">
        <x:v>qa/pdf_q12_q18/q18_fifo_sync_dualport.v</x:v>
      </x:c>
      <x:c r="O211" s="26" t="str">
        <x:v>https://github.com/kapiltrip/GoodQuestions/blob/a83e5a8a5d7262dd223ebbf4af2bf4c8434d9701/qa/pdf_q12_q18/q18_fifo_sync_dualport.v</x:v>
      </x:c>
      <x:c r="P211" s="15" t="str">
        <x:f>IF(B211="Done",IF(OR(J211="",K211="",L211=""),"Add run evidence","Recorded"),IF(OR(B211="Blocked",B211="N/A"),IF(M211="","Add reason","Reason recorded"),""))</x:f>
      </x:c>
      <x:c r="Q211" s="15" t="str">
        <x:v>a83e5a8a5d7262dd223ebbf4af2bf4c8434d9701</x:v>
      </x:c>
    </x:row>
    <x:row r="212" ht="86" customHeight="1">
      <x:c r="A212" s="4" t="str">
        <x:v>GQ-021</x:v>
      </x:c>
      <x:c r="B212" s="19" t="str">
        <x:v>Pending</x:v>
      </x:c>
      <x:c r="C212" s="20" t="str">
        <x:v>P0</x:v>
      </x:c>
      <x:c r="D212" s="4" t="str">
        <x:v>GoodQuestions</x:v>
      </x:c>
      <x:c r="E212" s="4" t="str">
        <x:v>Full-throughput synchronous FIFO</x:v>
      </x:c>
      <x:c r="F212" s="4" t="str">
        <x:v>Both enables in the middle</x:v>
      </x:c>
      <x:c r="G212" s="4" t="str">
        <x:v>clk, rst_n, push, pop, data_in, data_out, fifo_full, fifo_empty</x:v>
      </x:c>
      <x:c r="H212" s="4" t="str">
        <x:v>Prefill to half capacity. Keep push=pop=1 for at least 2*DEPTH clocks with a changing data_in.</x:v>
      </x:c>
      <x:c r="I212" s="4" t="str">
        <x:v>Both operations are accepted on each edge and occupancy stays constant. The stream remains ordered across pointer wraps. Compare data_out AFTER the accepted clk edge and nonblocking updates, using the word at the pre-edge read pointer.</x:v>
      </x:c>
      <x:c r="J212" s="17"/>
      <x:c r="K212" s="24"/>
      <x:c r="L212" s="17"/>
      <x:c r="M212" s="17"/>
      <x:c r="N212" s="4" t="str">
        <x:v>qa/pdf_q12_q18/q18_fifo_sync_dualport.v</x:v>
      </x:c>
      <x:c r="O212" s="25" t="str">
        <x:v>https://github.com/kapiltrip/GoodQuestions/blob/a83e5a8a5d7262dd223ebbf4af2bf4c8434d9701/qa/pdf_q12_q18/q18_fifo_sync_dualport.v</x:v>
      </x:c>
      <x:c r="P212" s="4" t="str">
        <x:f>IF(B212="Done",IF(OR(J212="",K212="",L212=""),"Add run evidence","Recorded"),IF(OR(B212="Blocked",B212="N/A"),IF(M212="","Add reason","Reason recorded"),""))</x:f>
      </x:c>
      <x:c r="Q212" s="4" t="str">
        <x:v>a83e5a8a5d7262dd223ebbf4af2bf4c8434d9701</x:v>
      </x:c>
    </x:row>
    <x:row r="213" ht="86" customHeight="1">
      <x:c r="A213" s="15" t="str">
        <x:v>GQ-022</x:v>
      </x:c>
      <x:c r="B213" s="19" t="str">
        <x:v>Pending</x:v>
      </x:c>
      <x:c r="C213" s="21" t="str">
        <x:v>P0</x:v>
      </x:c>
      <x:c r="D213" s="15" t="str">
        <x:v>GoodQuestions</x:v>
      </x:c>
      <x:c r="E213" s="15" t="str">
        <x:v>Full-throughput synchronous FIFO</x:v>
      </x:c>
      <x:c r="F213" s="15" t="str">
        <x:v>Both enables when empty</x:v>
      </x:c>
      <x:c r="G213" s="15" t="str">
        <x:v>clk, rst_n, push, pop, data_in, data_out, fifo_full, fifo_empty</x:v>
      </x:c>
      <x:c r="H213" s="15" t="str">
        <x:v>Reset empty, then assert push=pop=1 for one edge with data_in=3C.</x:v>
      </x:c>
      <x:c r="I213" s="15" t="str">
        <x:v>Only the write is accepted because the pre-edge fifo_empty=1. Occupancy becomes one. No same-edge bypass/pop of 3C is allowed.</x:v>
      </x:c>
      <x:c r="J213" s="17"/>
      <x:c r="K213" s="24"/>
      <x:c r="L213" s="17"/>
      <x:c r="M213" s="17"/>
      <x:c r="N213" s="15" t="str">
        <x:v>qa/pdf_q12_q18/q18_fifo_sync_dualport.v</x:v>
      </x:c>
      <x:c r="O213" s="26" t="str">
        <x:v>https://github.com/kapiltrip/GoodQuestions/blob/a83e5a8a5d7262dd223ebbf4af2bf4c8434d9701/qa/pdf_q12_q18/q18_fifo_sync_dualport.v</x:v>
      </x:c>
      <x:c r="P213" s="15" t="str">
        <x:f>IF(B213="Done",IF(OR(J213="",K213="",L213=""),"Add run evidence","Recorded"),IF(OR(B213="Blocked",B213="N/A"),IF(M213="","Add reason","Reason recorded"),""))</x:f>
      </x:c>
      <x:c r="Q213" s="15" t="str">
        <x:v>a83e5a8a5d7262dd223ebbf4af2bf4c8434d9701</x:v>
      </x:c>
    </x:row>
    <x:row r="214" ht="86" customHeight="1">
      <x:c r="A214" s="4" t="str">
        <x:v>GQ-023</x:v>
      </x:c>
      <x:c r="B214" s="19" t="str">
        <x:v>Pending</x:v>
      </x:c>
      <x:c r="C214" s="20" t="str">
        <x:v>P0</x:v>
      </x:c>
      <x:c r="D214" s="4" t="str">
        <x:v>GoodQuestions</x:v>
      </x:c>
      <x:c r="E214" s="4" t="str">
        <x:v>Full-throughput synchronous FIFO</x:v>
      </x:c>
      <x:c r="F214" s="4" t="str">
        <x:v>Both enables when full</x:v>
      </x:c>
      <x:c r="G214" s="4" t="str">
        <x:v>clk, rst_n, push, pop, data_in, data_out, fifo_full, fifo_empty</x:v>
      </x:c>
      <x:c r="H214" s="4" t="str">
        <x:v>Fill to capacity; assert push=pop=1 for one edge with a new data_in.</x:v>
      </x:c>
      <x:c r="I214" s="4" t="str">
        <x:v>Both operations are accepted: the old head is read, the new word enters the tail, and occupancy stays DEPTH. Check read-first collision behavior.</x:v>
      </x:c>
      <x:c r="J214" s="17"/>
      <x:c r="K214" s="24"/>
      <x:c r="L214" s="17"/>
      <x:c r="M214" s="17"/>
      <x:c r="N214" s="4" t="str">
        <x:v>qa/pdf_q12_q18/q18_fifo_sync_dualport.v</x:v>
      </x:c>
      <x:c r="O214" s="25" t="str">
        <x:v>https://github.com/kapiltrip/GoodQuestions/blob/a83e5a8a5d7262dd223ebbf4af2bf4c8434d9701/qa/pdf_q12_q18/q18_fifo_sync_dualport.v</x:v>
      </x:c>
      <x:c r="P214" s="4" t="str">
        <x:f>IF(B214="Done",IF(OR(J214="",K214="",L214=""),"Add run evidence","Recorded"),IF(OR(B214="Blocked",B214="N/A"),IF(M214="","Add reason","Reason recorded"),""))</x:f>
      </x:c>
      <x:c r="Q214" s="4" t="str">
        <x:v>a83e5a8a5d7262dd223ebbf4af2bf4c8434d9701</x:v>
      </x:c>
    </x:row>
    <x:row r="215" ht="86" customHeight="1">
      <x:c r="A215" s="15" t="str">
        <x:v>GQ-024</x:v>
      </x:c>
      <x:c r="B215" s="19" t="str">
        <x:v>Pending</x:v>
      </x:c>
      <x:c r="C215" s="15" t="str">
        <x:v>P1</x:v>
      </x:c>
      <x:c r="D215" s="15" t="str">
        <x:v>GoodQuestions</x:v>
      </x:c>
      <x:c r="E215" s="15" t="str">
        <x:v>Full-throughput synchronous FIFO</x:v>
      </x:c>
      <x:c r="F215" s="15" t="str">
        <x:v>Idle and output validity</x:v>
      </x:c>
      <x:c r="G215" s="15" t="str">
        <x:v>clk, rst_n, push, pop, data_in, data_out, fifo_full, fifo_empty</x:v>
      </x:c>
      <x:c r="H215" s="15" t="str">
        <x:v>Pause both enables at empty, one word, half-full and full. Toggle data_in while idle.</x:v>
      </x:c>
      <x:c r="I215" s="15" t="str">
        <x:v>Pointers/count and flags hold. data_out is driven by an always-reading synchronous RAM, so it may change even when pop=0 or fifo_empty=1. Reset sets the RAM output to zero; after release it resumes reading even without a pop.</x:v>
      </x:c>
      <x:c r="J215" s="17"/>
      <x:c r="K215" s="24"/>
      <x:c r="L215" s="17"/>
      <x:c r="M215" s="17"/>
      <x:c r="N215" s="15" t="str">
        <x:v>qa/pdf_q12_q18/q18_fifo_sync_dualport.v</x:v>
      </x:c>
      <x:c r="O215" s="26" t="str">
        <x:v>https://github.com/kapiltrip/GoodQuestions/blob/a83e5a8a5d7262dd223ebbf4af2bf4c8434d9701/qa/pdf_q12_q18/q18_fifo_sync_dualport.v</x:v>
      </x:c>
      <x:c r="P215" s="15" t="str">
        <x:f>IF(B215="Done",IF(OR(J215="",K215="",L215=""),"Add run evidence","Recorded"),IF(OR(B215="Blocked",B215="N/A"),IF(M215="","Add reason","Reason recorded"),""))</x:f>
      </x:c>
      <x:c r="Q215" s="15" t="str">
        <x:v>a83e5a8a5d7262dd223ebbf4af2bf4c8434d9701</x:v>
      </x:c>
    </x:row>
    <x:row r="216" ht="86" customHeight="1">
      <x:c r="A216" s="4" t="str">
        <x:v>GQ-025</x:v>
      </x:c>
      <x:c r="B216" s="19" t="str">
        <x:v>Pending</x:v>
      </x:c>
      <x:c r="C216" s="4" t="str">
        <x:v>P1</x:v>
      </x:c>
      <x:c r="D216" s="4" t="str">
        <x:v>GoodQuestions</x:v>
      </x:c>
      <x:c r="E216" s="4" t="str">
        <x:v>Full-throughput synchronous FIFO</x:v>
      </x:c>
      <x:c r="F216" s="4" t="str">
        <x:v>Repeated wraparound</x:v>
      </x:c>
      <x:c r="G216" s="4" t="str">
        <x:v>clk, rst_n, push, pop, data_in, data_out, fifo_full, fifo_empty</x:v>
      </x:c>
      <x:c r="H216" s="4" t="str">
        <x:v>Alternate fill/drain and mixed bursts until each pointer wraps at least four times. Use a sequence number for every accepted write.</x:v>
      </x:c>
      <x:c r="I216" s="4" t="str">
        <x:v>No duplication, loss or reordering. Counts stay between zero and DEPTH; fifo_full and fifo_empty cannot both be true.</x:v>
      </x:c>
      <x:c r="J216" s="17"/>
      <x:c r="K216" s="24"/>
      <x:c r="L216" s="17"/>
      <x:c r="M216" s="17"/>
      <x:c r="N216" s="4" t="str">
        <x:v>qa/pdf_q12_q18/q18_fifo_sync_dualport.v</x:v>
      </x:c>
      <x:c r="O216" s="25" t="str">
        <x:v>https://github.com/kapiltrip/GoodQuestions/blob/a83e5a8a5d7262dd223ebbf4af2bf4c8434d9701/qa/pdf_q12_q18/q18_fifo_sync_dualport.v</x:v>
      </x:c>
      <x:c r="P216" s="4" t="str">
        <x:f>IF(B216="Done",IF(OR(J216="",K216="",L216=""),"Add run evidence","Recorded"),IF(OR(B216="Blocked",B216="N/A"),IF(M216="","Add reason","Reason recorded"),""))</x:f>
      </x:c>
      <x:c r="Q216" s="4" t="str">
        <x:v>a83e5a8a5d7262dd223ebbf4af2bf4c8434d9701</x:v>
      </x:c>
    </x:row>
    <x:row r="217" ht="86" customHeight="1">
      <x:c r="A217" s="15" t="str">
        <x:v>GQ-026</x:v>
      </x:c>
      <x:c r="B217" s="19" t="str">
        <x:v>Pending</x:v>
      </x:c>
      <x:c r="C217" s="15" t="str">
        <x:v>P1</x:v>
      </x:c>
      <x:c r="D217" s="15" t="str">
        <x:v>GoodQuestions</x:v>
      </x:c>
      <x:c r="E217" s="15" t="str">
        <x:v>Full-throughput synchronous FIFO</x:v>
      </x:c>
      <x:c r="F217" s="15" t="str">
        <x:v>Reset with queued traffic</x:v>
      </x:c>
      <x:c r="G217" s="15" t="str">
        <x:v>clk, rst_n, push, pop, data_in, data_out, fifo_full, fifo_empty</x:v>
      </x:c>
      <x:c r="H217" s="15" t="str">
        <x:v>Prefill, assert rst_n during traffic, then hold enables low through reset. Discard the software reference queue; release reset and write fresh values.</x:v>
      </x:c>
      <x:c r="I217" s="15" t="str">
        <x:v>Old queued values are discarded logically. The first fresh drain returns only post-reset accepted writes. data_out is driven by an always-reading synchronous RAM, so it may change even when pop=0 or fifo_empty=1. Reset sets the RAM output to zero; after release it resumes reading even without a pop.</x:v>
      </x:c>
      <x:c r="J217" s="17"/>
      <x:c r="K217" s="24"/>
      <x:c r="L217" s="17"/>
      <x:c r="M217" s="17"/>
      <x:c r="N217" s="15" t="str">
        <x:v>qa/pdf_q12_q18/q18_fifo_sync_dualport.v</x:v>
      </x:c>
      <x:c r="O217" s="26" t="str">
        <x:v>https://github.com/kapiltrip/GoodQuestions/blob/a83e5a8a5d7262dd223ebbf4af2bf4c8434d9701/qa/pdf_q12_q18/q18_fifo_sync_dualport.v</x:v>
      </x:c>
      <x:c r="P217" s="15" t="str">
        <x:f>IF(B217="Done",IF(OR(J217="",K217="",L217=""),"Add run evidence","Recorded"),IF(OR(B217="Blocked",B217="N/A"),IF(M217="","Add reason","Reason recorded"),""))</x:f>
      </x:c>
      <x:c r="Q217" s="15" t="str">
        <x:v>a83e5a8a5d7262dd223ebbf4af2bf4c8434d9701</x:v>
      </x:c>
    </x:row>
    <x:row r="218" ht="86" customHeight="1">
      <x:c r="A218" s="4" t="str">
        <x:v>GQ-027</x:v>
      </x:c>
      <x:c r="B218" s="19" t="str">
        <x:v>Pending</x:v>
      </x:c>
      <x:c r="C218" s="4" t="str">
        <x:v>P2</x:v>
      </x:c>
      <x:c r="D218" s="4" t="str">
        <x:v>GoodQuestions</x:v>
      </x:c>
      <x:c r="E218" s="4" t="str">
        <x:v>Full-throughput synchronous FIFO</x:v>
      </x:c>
      <x:c r="F218" s="4" t="str">
        <x:v>Random bursts with a reference queue</x:v>
      </x:c>
      <x:c r="G218" s="4" t="str">
        <x:v>clk, rst_n, push, pop, data_in, data_out, fifo_full, fifo_empty</x:v>
      </x:c>
      <x:c r="H218" s="4" t="str">
        <x:v>Run 1000 or more edges for each of three recorded seeds. Bias requests toward empty/full and one-away states. Queue only writes accepted by pre-edge flags and dequeue only accepted reads.</x:v>
      </x:c>
      <x:c r="I218" s="4" t="str">
        <x:v>Every accepted read matches the oldest reference word. End by draining and proving the reference queue empty. Compare data_out AFTER the accepted clk edge and nonblocking updates, using the word at the pre-edge read pointer.</x:v>
      </x:c>
      <x:c r="J218" s="17"/>
      <x:c r="K218" s="24"/>
      <x:c r="L218" s="17"/>
      <x:c r="M218" s="17"/>
      <x:c r="N218" s="4" t="str">
        <x:v>qa/pdf_q12_q18/q18_fifo_sync_dualport.v</x:v>
      </x:c>
      <x:c r="O218" s="25" t="str">
        <x:v>https://github.com/kapiltrip/GoodQuestions/blob/a83e5a8a5d7262dd223ebbf4af2bf4c8434d9701/qa/pdf_q12_q18/q18_fifo_sync_dualport.v</x:v>
      </x:c>
      <x:c r="P218" s="4" t="str">
        <x:f>IF(B218="Done",IF(OR(J218="",K218="",L218=""),"Add run evidence","Recorded"),IF(OR(B218="Blocked",B218="N/A"),IF(M218="","Add reason","Reason recorded"),""))</x:f>
      </x:c>
      <x:c r="Q218" s="4" t="str">
        <x:v>a83e5a8a5d7262dd223ebbf4af2bf4c8434d9701</x:v>
      </x:c>
    </x:row>
    <x:row r="219" ht="86" customHeight="1">
      <x:c r="A219" s="15" t="str">
        <x:v>VD-016</x:v>
      </x:c>
      <x:c r="B219" s="19" t="str">
        <x:v>Pending</x:v>
      </x:c>
      <x:c r="C219" s="21" t="str">
        <x:v>P0</x:v>
      </x:c>
      <x:c r="D219" s="15" t="str">
        <x:v>VerilogCodesUpdatedDaily</x:v>
      </x:c>
      <x:c r="E219" s="15" t="str">
        <x:v>Counter styles</x:v>
      </x:c>
      <x:c r="F219" s="15" t="str">
        <x:v>Up/down wraps and style equivalence</x:v>
      </x:c>
      <x:c r="G219" s="15" t="str">
        <x:v>clk, reset, up, count</x:v>
      </x:c>
      <x:c r="H219" s="15" t="str">
        <x:v>Reset all three versions together; count up through 15-&gt;0 and down through 0-&gt;15; change up away from posedge clk.</x:v>
      </x:c>
      <x:c r="I219" s="15" t="str">
        <x:v>All three count outputs agree after each edge. Arithmetic is modulo 16; active-high reset is asynchronous.</x:v>
      </x:c>
      <x:c r="J219" s="17"/>
      <x:c r="K219" s="24"/>
      <x:c r="L219" s="17"/>
      <x:c r="M219" s="17"/>
      <x:c r="N219" s="15" t="str">
        <x:v>up_down_counter_behavioral.v
up_down_counter_dataflow.v
up_down_counter_structural.v</x:v>
      </x:c>
      <x:c r="O219" s="26" t="str">
        <x:v>https://github.com/kapiltrip/VerilogCodesUpdatedDaily/blob/16ce5086bddef41aa977a31440509a0c4219d3c0/up_down_counter_behavioral.v</x:v>
      </x:c>
      <x:c r="P219" s="15" t="str">
        <x:f>IF(B219="Done",IF(OR(J219="",K219="",L219=""),"Add run evidence","Recorded"),IF(OR(B219="Blocked",B219="N/A"),IF(M219="","Add reason","Reason recorded"),""))</x:f>
      </x:c>
      <x:c r="Q219" s="15" t="str">
        <x:v>16ce5086bddef41aa977a31440509a0c4219d3c0</x:v>
      </x:c>
    </x:row>
    <x:row r="220" ht="86" customHeight="1">
      <x:c r="A220" s="4" t="str">
        <x:v>VD-017</x:v>
      </x:c>
      <x:c r="B220" s="19" t="str">
        <x:v>Pending</x:v>
      </x:c>
      <x:c r="C220" s="4" t="str">
        <x:v>P1</x:v>
      </x:c>
      <x:c r="D220" s="4" t="str">
        <x:v>VerilogCodesUpdatedDaily</x:v>
      </x:c>
      <x:c r="E220" s="4" t="str">
        <x:v>Counter styles</x:v>
      </x:c>
      <x:c r="F220" s="4" t="str">
        <x:v>Mid-count reset and direction change</x:v>
      </x:c>
      <x:c r="G220" s="4" t="str">
        <x:v>clk, reset, up, count</x:v>
      </x:c>
      <x:c r="H220" s="4" t="str">
        <x:v>Reset between clock edges after a nonzero count; release and alternate up on successive cycles.</x:v>
      </x:c>
      <x:c r="I220" s="4" t="str">
        <x:v>count immediately resets to zero and advances by exactly +1 or -1 on each later rising edge.</x:v>
      </x:c>
      <x:c r="J220" s="17"/>
      <x:c r="K220" s="24"/>
      <x:c r="L220" s="17"/>
      <x:c r="M220" s="17"/>
      <x:c r="N220" s="4" t="str">
        <x:v>up_down_counter_behavioral.v
up_down_counter_dataflow.v
up_down_counter_structural.v</x:v>
      </x:c>
      <x:c r="O220" s="25" t="str">
        <x:v>https://github.com/kapiltrip/VerilogCodesUpdatedDaily/blob/16ce5086bddef41aa977a31440509a0c4219d3c0/up_down_counter_behavioral.v</x:v>
      </x:c>
      <x:c r="P220" s="4" t="str">
        <x:f>IF(B220="Done",IF(OR(J220="",K220="",L220=""),"Add run evidence","Recorded"),IF(OR(B220="Blocked",B220="N/A"),IF(M220="","Add reason","Reason recorded"),""))</x:f>
      </x:c>
      <x:c r="Q220" s="4" t="str">
        <x:v>16ce5086bddef41aa977a31440509a0c4219d3c0</x:v>
      </x:c>
    </x:row>
    <x:row r="221" ht="86" customHeight="1">
      <x:c r="A221" s="15" t="str">
        <x:v>VD-018</x:v>
      </x:c>
      <x:c r="B221" s="19" t="str">
        <x:v>Pending</x:v>
      </x:c>
      <x:c r="C221" s="21" t="str">
        <x:v>P0</x:v>
      </x:c>
      <x:c r="D221" s="15" t="str">
        <x:v>VerilogCodesUpdatedDaily</x:v>
      </x:c>
      <x:c r="E221" s="15" t="str">
        <x:v>Array read styles</x:v>
      </x:c>
      <x:c r="F221" s="15" t="str">
        <x:v>Read timing differs between styles</x:v>
      </x:c>
      <x:c r="G221" s="15" t="str">
        <x:v>clk, write_data, write_addr, write_en, read_addr, read_data</x:v>
      </x:c>
      <x:c r="H221" s="15" t="str">
        <x:v>Initialize every location, then change read_addr between edges in array_behavioral, array_behavioral_simple, array_dataflow and array_structural.</x:v>
      </x:c>
      <x:c r="I221" s="15" t="str">
        <x:v>Behavioral outputs update at posedge clk and are read-first on collisions. Dataflow/structural outputs follow address asynchronously. Compare at each design’s valid time, not cycle-for-cycle blindly.</x:v>
      </x:c>
      <x:c r="J221" s="17"/>
      <x:c r="K221" s="24"/>
      <x:c r="L221" s="17"/>
      <x:c r="M221" s="17"/>
      <x:c r="N221" s="15" t="str">
        <x:v>array_all.v
array_db.v</x:v>
      </x:c>
      <x:c r="O221" s="26" t="str">
        <x:v>https://github.com/kapiltrip/VerilogCodesUpdatedDaily/blob/16ce5086bddef41aa977a31440509a0c4219d3c0/array_all.v</x:v>
      </x:c>
      <x:c r="P221" s="15" t="str">
        <x:f>IF(B221="Done",IF(OR(J221="",K221="",L221=""),"Add run evidence","Recorded"),IF(OR(B221="Blocked",B221="N/A"),IF(M221="","Add reason","Reason recorded"),""))</x:f>
      </x:c>
      <x:c r="Q221" s="15" t="str">
        <x:v>16ce5086bddef41aa977a31440509a0c4219d3c0</x:v>
      </x:c>
    </x:row>
    <x:row r="222" ht="86" customHeight="1">
      <x:c r="A222" s="4" t="str">
        <x:v>VD-019</x:v>
      </x:c>
      <x:c r="B222" s="19" t="str">
        <x:v>Pending</x:v>
      </x:c>
      <x:c r="C222" s="4" t="str">
        <x:v>P1</x:v>
      </x:c>
      <x:c r="D222" s="4" t="str">
        <x:v>VerilogCodesUpdatedDaily</x:v>
      </x:c>
      <x:c r="E222" s="4" t="str">
        <x:v>Array read styles</x:v>
      </x:c>
      <x:c r="F222" s="4" t="str">
        <x:v>Depth, initialization and write protection</x:v>
      </x:c>
      <x:c r="G222" s="4" t="str">
        <x:v>clk, write_data, write_addr, write_en, read_addr, read_data</x:v>
      </x:c>
      <x:c r="H222" s="4" t="str">
        <x:v>Write a walking-one pattern to every legal location, then hold write_en=0 while changing addresses/data. Check a fresh simulation too.</x:v>
      </x:c>
      <x:c r="I222" s="4" t="str">
        <x:v>Behavioral/dataflow memories have simulation initialization to zero; structural DFF storage has no reset/init and begins unknown. Structural array is fixed at four words, irrespective of other array DEPTH overrides.</x:v>
      </x:c>
      <x:c r="J222" s="17"/>
      <x:c r="K222" s="24"/>
      <x:c r="L222" s="17"/>
      <x:c r="M222" s="17"/>
      <x:c r="N222" s="4" t="str">
        <x:v>array_all.v
array_db.v</x:v>
      </x:c>
      <x:c r="O222" s="25" t="str">
        <x:v>https://github.com/kapiltrip/VerilogCodesUpdatedDaily/blob/16ce5086bddef41aa977a31440509a0c4219d3c0/array_all.v</x:v>
      </x:c>
      <x:c r="P222" s="4" t="str">
        <x:f>IF(B222="Done",IF(OR(J222="",K222="",L222=""),"Add run evidence","Recorded"),IF(OR(B222="Blocked",B222="N/A"),IF(M222="","Add reason","Reason recorded"),""))</x:f>
      </x:c>
      <x:c r="Q222" s="4" t="str">
        <x:v>16ce5086bddef41aa977a31440509a0c4219d3c0</x:v>
      </x:c>
    </x:row>
    <x:row r="223" ht="86" customHeight="1">
      <x:c r="A223" s="15" t="str">
        <x:v>VD-020</x:v>
      </x:c>
      <x:c r="B223" s="19" t="str">
        <x:v>Pending</x:v>
      </x:c>
      <x:c r="C223" s="21" t="str">
        <x:v>P0</x:v>
      </x:c>
      <x:c r="D223" s="15" t="str">
        <x:v>VerilogCodesUpdatedDaily</x:v>
      </x:c>
      <x:c r="E223" s="15" t="str">
        <x:v>Binary to Gray</x:v>
      </x:c>
      <x:c r="F223" s="15" t="str">
        <x:v>Complete conversion and adjacency</x:v>
      </x:c>
      <x:c r="G223" s="15" t="str">
        <x:v>bin, gray</x:v>
      </x:c>
      <x:c r="H223" s="15" t="str">
        <x:v>Sweep bin through all 256 values at WIDTH=8; repeat WIDTH=1 and 4. Check conversion using a bitwise truth-table reference.</x:v>
      </x:c>
      <x:c r="I223" s="15" t="str">
        <x:v>MSB is unchanged; each lower Gray bit is XOR of adjacent binary bits. Consecutive binary values including wrap produce one changed Gray bit. Compile only one definition of bin2gray at a time.</x:v>
      </x:c>
      <x:c r="J223" s="17"/>
      <x:c r="K223" s="24"/>
      <x:c r="L223" s="17"/>
      <x:c r="M223" s="17"/>
      <x:c r="N223" s="15" t="str">
        <x:v>bin2gray.v
bin2gray_all.v</x:v>
      </x:c>
      <x:c r="O223" s="26" t="str">
        <x:v>https://github.com/kapiltrip/VerilogCodesUpdatedDaily/blob/16ce5086bddef41aa977a31440509a0c4219d3c0/bin2gray.v</x:v>
      </x:c>
      <x:c r="P223" s="15" t="str">
        <x:f>IF(B223="Done",IF(OR(J223="",K223="",L223=""),"Add run evidence","Recorded"),IF(OR(B223="Blocked",B223="N/A"),IF(M223="","Add reason","Reason recorded"),""))</x:f>
      </x:c>
      <x:c r="Q223" s="15" t="str">
        <x:v>16ce5086bddef41aa977a31440509a0c4219d3c0</x:v>
      </x:c>
    </x:row>
    <x:row r="224" ht="86" customHeight="1">
      <x:c r="A224" s="4" t="str">
        <x:v>GQ-028</x:v>
      </x:c>
      <x:c r="B224" s="19" t="str">
        <x:v>Pending</x:v>
      </x:c>
      <x:c r="C224" s="20" t="str">
        <x:v>P0</x:v>
      </x:c>
      <x:c r="D224" s="4" t="str">
        <x:v>GoodQuestions</x:v>
      </x:c>
      <x:c r="E224" s="4" t="str">
        <x:v>Two maximum values</x:v>
      </x:c>
      <x:c r="F224" s="4" t="str">
        <x:v>Ordering, duplicates and handshake</x:v>
      </x:c>
      <x:c r="G224" s="4" t="str">
        <x:v>clk, rst, clear, in_valid, in_data, in_ready, max1, max2, max1_valid, max2_valid</x:v>
      </x:c>
      <x:c r="H224" s="4" t="str">
        <x:v>Submit 3,9,5,9 only when in_ready=1; wait for processing between submissions. Also test zero samples and one sample after reset.</x:v>
      </x:c>
      <x:c r="I224" s="4" t="str">
        <x:v>After four accepted values max1=9,max2=9: duplicates are counted. With zero/one samples, validity bits identify which maxima exist. Input while not ready is not accepted.</x:v>
      </x:c>
      <x:c r="J224" s="17"/>
      <x:c r="K224" s="24"/>
      <x:c r="L224" s="17"/>
      <x:c r="M224" s="17"/>
      <x:c r="N224" s="4" t="str">
        <x:v>qa/pdf_q21/q21_max_and_second_max_onecmp.v</x:v>
      </x:c>
      <x:c r="O224" s="25" t="str">
        <x:v>https://github.com/kapiltrip/GoodQuestions/blob/a83e5a8a5d7262dd223ebbf4af2bf4c8434d9701/qa/pdf_q21/q21_max_and_second_max_onecmp.v</x:v>
      </x:c>
      <x:c r="P224" s="4" t="str">
        <x:f>IF(B224="Done",IF(OR(J224="",K224="",L224=""),"Add run evidence","Recorded"),IF(OR(B224="Blocked",B224="N/A"),IF(M224="","Add reason","Reason recorded"),""))</x:f>
      </x:c>
      <x:c r="Q224" s="4" t="str">
        <x:v>a83e5a8a5d7262dd223ebbf4af2bf4c8434d9701</x:v>
      </x:c>
    </x:row>
    <x:row r="225" ht="86" customHeight="1">
      <x:c r="A225" s="15" t="str">
        <x:v>GQ-029</x:v>
      </x:c>
      <x:c r="B225" s="19" t="str">
        <x:v>Pending</x:v>
      </x:c>
      <x:c r="C225" s="15" t="str">
        <x:v>P1</x:v>
      </x:c>
      <x:c r="D225" s="15" t="str">
        <x:v>GoodQuestions</x:v>
      </x:c>
      <x:c r="E225" s="15" t="str">
        <x:v>Two maximum values</x:v>
      </x:c>
      <x:c r="F225" s="15" t="str">
        <x:v>Clear interrupts a comparison</x:v>
      </x:c>
      <x:c r="G225" s="15" t="str">
        <x:v>clk, clear, in_valid, in_ready, max1_valid, max2_valid</x:v>
      </x:c>
      <x:c r="H225" s="15" t="str">
        <x:v>Assert clear during each comparison state, with in_valid also high.</x:v>
      </x:c>
      <x:c r="I225" s="15" t="str">
        <x:v>Clear wins; both valid bits clear and state returns ready. The interrupted sample is discarded.</x:v>
      </x:c>
      <x:c r="J225" s="17"/>
      <x:c r="K225" s="24"/>
      <x:c r="L225" s="17"/>
      <x:c r="M225" s="17"/>
      <x:c r="N225" s="15" t="str">
        <x:v>qa/pdf_q21/q21_max_and_second_max_onecmp.v</x:v>
      </x:c>
      <x:c r="O225" s="26" t="str">
        <x:v>https://github.com/kapiltrip/GoodQuestions/blob/a83e5a8a5d7262dd223ebbf4af2bf4c8434d9701/qa/pdf_q21/q21_max_and_second_max_onecmp.v</x:v>
      </x:c>
      <x:c r="P225" s="15" t="str">
        <x:f>IF(B225="Done",IF(OR(J225="",K225="",L225=""),"Add run evidence","Recorded"),IF(OR(B225="Blocked",B225="N/A"),IF(M225="","Add reason","Reason recorded"),""))</x:f>
      </x:c>
      <x:c r="Q225" s="15" t="str">
        <x:v>a83e5a8a5d7262dd223ebbf4af2bf4c8434d9701</x:v>
      </x:c>
    </x:row>
    <x:row r="226" ht="86" customHeight="1">
      <x:c r="A226" s="4" t="str">
        <x:v>GQ-030</x:v>
      </x:c>
      <x:c r="B226" s="19" t="str">
        <x:v>Pending</x:v>
      </x:c>
      <x:c r="C226" s="20" t="str">
        <x:v>P0</x:v>
      </x:c>
      <x:c r="D226" s="4" t="str">
        <x:v>GoodQuestions</x:v>
      </x:c>
      <x:c r="E226" s="4" t="str">
        <x:v>FIR filter</x:v>
      </x:c>
      <x:c r="F226" s="4" t="str">
        <x:v>Impulse, signed data and latency</x:v>
      </x:c>
      <x:c r="G226" s="4" t="str">
        <x:v>clk, rst_n, sample_in, sample_out</x:v>
      </x:c>
      <x:c r="H226" s="4" t="str">
        <x:v>Reset, send impulse 1 followed by zeros, then constant 1 and signed extreme samples. Repeat with asymmetric and negative coefficients.</x:v>
      </x:c>
      <x:c r="I226" s="4" t="str">
        <x:v>After each sampling edge the default impulse response is 1,2,3,2,1,0; the constant response settles to 9. Use signed products, widened sums and output-width truncation when computing expected results.</x:v>
      </x:c>
      <x:c r="J226" s="17"/>
      <x:c r="K226" s="24"/>
      <x:c r="L226" s="17"/>
      <x:c r="M226" s="17"/>
      <x:c r="N226" s="4" t="str">
        <x:v>qa/pdf_q24/q24_fir_5tap.v</x:v>
      </x:c>
      <x:c r="O226" s="25" t="str">
        <x:v>https://github.com/kapiltrip/GoodQuestions/blob/a83e5a8a5d7262dd223ebbf4af2bf4c8434d9701/qa/pdf_q24/q24_fir_5tap.v</x:v>
      </x:c>
      <x:c r="P226" s="4" t="str">
        <x:f>IF(B226="Done",IF(OR(J226="",K226="",L226=""),"Add run evidence","Recorded"),IF(OR(B226="Blocked",B226="N/A"),IF(M226="","Add reason","Reason recorded"),""))</x:f>
      </x:c>
      <x:c r="Q226" s="4" t="str">
        <x:v>a83e5a8a5d7262dd223ebbf4af2bf4c8434d9701</x:v>
      </x:c>
    </x:row>
    <x:row r="227" ht="86" customHeight="1">
      <x:c r="A227" s="15" t="str">
        <x:v>GQ-031</x:v>
      </x:c>
      <x:c r="B227" s="19" t="str">
        <x:v>Pending</x:v>
      </x:c>
      <x:c r="C227" s="21" t="str">
        <x:v>P0</x:v>
      </x:c>
      <x:c r="D227" s="15" t="str">
        <x:v>GoodQuestions</x:v>
      </x:c>
      <x:c r="E227" s="15" t="str">
        <x:v>Remainder FSM</x:v>
      </x:c>
      <x:c r="F227" s="15" t="str">
        <x:v>All remainder transitions</x:v>
      </x:c>
      <x:c r="G227" s="15" t="str">
        <x:v>clk, rst, bit_in, div_by_3</x:v>
      </x:c>
      <x:c r="H227" s="15" t="str">
        <x:v>Feed serial MSB-first streams for 0,1,2,3,6,7 and longer random bit sequences; reset between independent numbers.</x:v>
      </x:c>
      <x:c r="I227" s="15" t="str">
        <x:v>Update reference remainder as (2*previous+bit_in) mod 3. div_by_3 is high exactly for remainder zero after the clock edge, including reset state.</x:v>
      </x:c>
      <x:c r="J227" s="17"/>
      <x:c r="K227" s="24"/>
      <x:c r="L227" s="17"/>
      <x:c r="M227" s="17"/>
      <x:c r="N227" s="15" t="str">
        <x:v>qa/pdf_q19_q20/q19_divisible_by3_fsm.v</x:v>
      </x:c>
      <x:c r="O227" s="26" t="str">
        <x:v>https://github.com/kapiltrip/GoodQuestions/blob/a83e5a8a5d7262dd223ebbf4af2bf4c8434d9701/qa/pdf_q19_q20/q19_divisible_by3_fsm.v</x:v>
      </x:c>
      <x:c r="P227" s="15" t="str">
        <x:f>IF(B227="Done",IF(OR(J227="",K227="",L227=""),"Add run evidence","Recorded"),IF(OR(B227="Blocked",B227="N/A"),IF(M227="","Add reason","Reason recorded"),""))</x:f>
      </x:c>
      <x:c r="Q227" s="15" t="str">
        <x:v>a83e5a8a5d7262dd223ebbf4af2bf4c8434d9701</x:v>
      </x:c>
    </x:row>
    <x:row r="228" ht="86" customHeight="1">
      <x:c r="A228" s="4" t="str">
        <x:v>GQ-032</x:v>
      </x:c>
      <x:c r="B228" s="19" t="str">
        <x:v>Pending</x:v>
      </x:c>
      <x:c r="C228" s="4" t="str">
        <x:v>P1</x:v>
      </x:c>
      <x:c r="D228" s="4" t="str">
        <x:v>GoodQuestions</x:v>
      </x:c>
      <x:c r="E228" s="4" t="str">
        <x:v>Fibonacci</x:v>
      </x:c>
      <x:c r="F228" s="4" t="str">
        <x:v>Enable gaps and overflow</x:v>
      </x:c>
      <x:c r="G228" s="4" t="str">
        <x:v>clk, rst_n, enable, cur_num, next_num, sum</x:v>
      </x:c>
      <x:c r="H228" s="4" t="str">
        <x:v>Reset, pulse enable with gaps, then run long enough to overflow a small WIDTH.</x:v>
      </x:c>
      <x:c r="I228" s="4" t="str">
        <x:v>Initial pair is 0,1; enabled pairs advance 1,1 then 1,2 then 2,3. Hold both stored terms while enable=0; sum remains their combinational sum modulo 2^WIDTH.</x:v>
      </x:c>
      <x:c r="J228" s="17"/>
      <x:c r="K228" s="24"/>
      <x:c r="L228" s="17"/>
      <x:c r="M228" s="17"/>
      <x:c r="N228" s="4" t="str">
        <x:v>qa/pdf_q19_q20/q20_fibonacci_enable.v</x:v>
      </x:c>
      <x:c r="O228" s="25" t="str">
        <x:v>https://github.com/kapiltrip/GoodQuestions/blob/a83e5a8a5d7262dd223ebbf4af2bf4c8434d9701/qa/pdf_q19_q20/q20_fibonacci_enable.v</x:v>
      </x:c>
      <x:c r="P228" s="4" t="str">
        <x:f>IF(B228="Done",IF(OR(J228="",K228="",L228=""),"Add run evidence","Recorded"),IF(OR(B228="Blocked",B228="N/A"),IF(M228="","Add reason","Reason recorded"),""))</x:f>
      </x:c>
      <x:c r="Q228" s="4" t="str">
        <x:v>a83e5a8a5d7262dd223ebbf4af2bf4c8434d9701</x:v>
      </x:c>
    </x:row>
    <x:row r="229" ht="86" customHeight="1">
      <x:c r="A229" s="15" t="str">
        <x:v>GQ-033</x:v>
      </x:c>
      <x:c r="B229" s="19" t="str">
        <x:v>Pending</x:v>
      </x:c>
      <x:c r="C229" s="15" t="str">
        <x:v>P1</x:v>
      </x:c>
      <x:c r="D229" s="15" t="str">
        <x:v>GoodQuestions</x:v>
      </x:c>
      <x:c r="E229" s="15" t="str">
        <x:v>Time pulses</x:v>
      </x:c>
      <x:c r="F229" s="15" t="str">
        <x:v>Second/minute/hour rollover</x:v>
      </x:c>
      <x:c r="G229" s="15" t="str">
        <x:v>clk, rst_n, one_ms_pulse, second, minute, hour</x:v>
      </x:c>
      <x:c r="H229" s="15" t="str">
        <x:v>Count accepted one_ms_pulse events, inserting gaps; check 999/1000, 59999/60000 and 3599999/3600000 events.</x:v>
      </x:c>
      <x:c r="I229" s="15" t="str">
        <x:v>second every 1000 events, minute every 60000, hour every 3600000. Outputs are combinational qualifiers of pre-edge counters and the input pulse; sample at the accepting edge before counters roll.</x:v>
      </x:c>
      <x:c r="J229" s="17"/>
      <x:c r="K229" s="24"/>
      <x:c r="L229" s="17"/>
      <x:c r="M229" s="17"/>
      <x:c r="N229" s="15" t="str">
        <x:v>qa/pdf_q22_q23/q22_time_ticks.v</x:v>
      </x:c>
      <x:c r="O229" s="26" t="str">
        <x:v>https://github.com/kapiltrip/GoodQuestions/blob/a83e5a8a5d7262dd223ebbf4af2bf4c8434d9701/qa/pdf_q22_q23/q22_time_ticks.v</x:v>
      </x:c>
      <x:c r="P229" s="15" t="str">
        <x:f>IF(B229="Done",IF(OR(J229="",K229="",L229=""),"Add run evidence","Recorded"),IF(OR(B229="Blocked",B229="N/A"),IF(M229="","Add reason","Reason recorded"),""))</x:f>
      </x:c>
      <x:c r="Q229" s="15" t="str">
        <x:v>a83e5a8a5d7262dd223ebbf4af2bf4c8434d9701</x:v>
      </x:c>
    </x:row>
    <x:row r="230" ht="86" customHeight="1">
      <x:c r="A230" s="4" t="str">
        <x:v>GQ-034</x:v>
      </x:c>
      <x:c r="B230" s="19" t="str">
        <x:v>Pending</x:v>
      </x:c>
      <x:c r="C230" s="20" t="str">
        <x:v>P0</x:v>
      </x:c>
      <x:c r="D230" s="4" t="str">
        <x:v>GoodQuestions</x:v>
      </x:c>
      <x:c r="E230" s="4" t="str">
        <x:v>Reset synchronizer</x:v>
      </x:c>
      <x:c r="F230" s="4" t="str">
        <x:v>Asynchronous assert and two-edge release</x:v>
      </x:c>
      <x:c r="G230" s="4" t="str">
        <x:v>clk, rst_n, local_reset_n</x:v>
      </x:c>
      <x:c r="H230" s="4" t="str">
        <x:v>Assert rst_n=0 with clk stopped, release to 1, then provide two rising edges. Reassert during the release sequence.</x:v>
      </x:c>
      <x:c r="I230" s="4" t="str">
        <x:v>local_reset_n asserts low without a clock and deasserts only after two rising edges after release. Reassertion restarts the two-stage release.</x:v>
      </x:c>
      <x:c r="J230" s="17"/>
      <x:c r="K230" s="24"/>
      <x:c r="L230" s="17"/>
      <x:c r="M230" s="17"/>
      <x:c r="N230" s="4" t="str">
        <x:v>qa/pdf_q28_q30/q30_reset_synchronizer.v</x:v>
      </x:c>
      <x:c r="O230" s="25" t="str">
        <x:v>https://github.com/kapiltrip/GoodQuestions/blob/a83e5a8a5d7262dd223ebbf4af2bf4c8434d9701/qa/pdf_q28_q30/q30_reset_synchronizer.v</x:v>
      </x:c>
      <x:c r="P230" s="4" t="str">
        <x:f>IF(B230="Done",IF(OR(J230="",K230="",L230=""),"Add run evidence","Recorded"),IF(OR(B230="Blocked",B230="N/A"),IF(M230="","Add reason","Reason recorded"),""))</x:f>
      </x:c>
      <x:c r="Q230" s="4" t="str">
        <x:v>a83e5a8a5d7262dd223ebbf4af2bf4c8434d9701</x:v>
      </x:c>
    </x:row>
    <x:row r="231" ht="86" customHeight="1">
      <x:c r="A231" s="15" t="str">
        <x:v>GQ-035</x:v>
      </x:c>
      <x:c r="B231" s="19" t="str">
        <x:v>Pending</x:v>
      </x:c>
      <x:c r="C231" s="15" t="str">
        <x:v>P1</x:v>
      </x:c>
      <x:c r="D231" s="15" t="str">
        <x:v>GoodQuestions</x:v>
      </x:c>
      <x:c r="E231" s="15" t="str">
        <x:v>Clock gate</x:v>
      </x:c>
      <x:c r="F231" s="15" t="str">
        <x:v>Enable changes in both clock phases</x:v>
      </x:c>
      <x:c r="G231" s="15" t="str">
        <x:v>clk_in, enable, gated_clk</x:v>
      </x:c>
      <x:c r="H231" s="15" t="str">
        <x:v>Initialize enable while clk_in is low. Toggle enable in low/high phases and compare every gated pulse width.</x:v>
      </x:c>
      <x:c r="I231" s="15" t="str">
        <x:v>Enable is captured only while clk_in=0. A high-phase enable change cannot shorten or create a gated pulse; accepted pulses follow clk_in. Initialize the latch before checking.</x:v>
      </x:c>
      <x:c r="J231" s="17"/>
      <x:c r="K231" s="24"/>
      <x:c r="L231" s="17"/>
      <x:c r="M231" s="17"/>
      <x:c r="N231" s="15" t="str">
        <x:v>qa/pdf_q28_q30/q28_glitch_free_clock_gate.v</x:v>
      </x:c>
      <x:c r="O231" s="26" t="str">
        <x:v>https://github.com/kapiltrip/GoodQuestions/blob/a83e5a8a5d7262dd223ebbf4af2bf4c8434d9701/qa/pdf_q28_q30/q28_glitch_free_clock_gate.v</x:v>
      </x:c>
      <x:c r="P231" s="15" t="str">
        <x:f>IF(B231="Done",IF(OR(J231="",K231="",L231=""),"Add run evidence","Recorded"),IF(OR(B231="Blocked",B231="N/A"),IF(M231="","Add reason","Reason recorded"),""))</x:f>
      </x:c>
      <x:c r="Q231" s="15" t="str">
        <x:v>a83e5a8a5d7262dd223ebbf4af2bf4c8434d9701</x:v>
      </x:c>
    </x:row>
    <x:row r="232" ht="86" customHeight="1">
      <x:c r="A232" s="4" t="str">
        <x:v>SV-001</x:v>
      </x:c>
      <x:c r="B232" s="19" t="str">
        <x:v>Pending</x:v>
      </x:c>
      <x:c r="C232" s="20" t="str">
        <x:v>P0</x:v>
      </x:c>
      <x:c r="D232" s="4" t="str">
        <x:v>systemverilog-from-beginning</x:v>
      </x:c>
      <x:c r="E232" s="4" t="str">
        <x:v>Coverage FIFO</x:v>
      </x:c>
      <x:c r="F232" s="4" t="str">
        <x:v>Reset and first usable cycle</x:v>
      </x:c>
      <x:c r="G232" s="4" t="str">
        <x:v>clk, rst, wr_en, rd_en, din, dout, full, empty</x:v>
      </x:c>
      <x:c r="H232" s="4" t="str">
        <x:v>Hold wr_en=rd_en=0. Assert rst=1, clock the design, then release reset away from the active edge.</x:v>
      </x:c>
      <x:c r="I232" s="4" t="str">
        <x:v>After the specified reset event: empty=1 and full=0; pointers/count are reset. dout holds the last accepted read while no read is accepted, and resets to zero.</x:v>
      </x:c>
      <x:c r="J232" s="17"/>
      <x:c r="K232" s="24"/>
      <x:c r="L232" s="17"/>
      <x:c r="M232" s="17"/>
      <x:c r="N232" s="4" t="str">
        <x:v>SV Functional Coverage/Projects/01-fifo-functional-coverage/design.sv</x:v>
      </x:c>
      <x:c r="O232" s="25" t="str">
        <x:v>https://github.com/kapiltrip/systemverilog-from-beginning/blob/318bd495dee245f946d7c72127cb698bcf6e6680/SV%20Functional%20Coverage/Projects/01-fifo-functional-coverage/design.sv</x:v>
      </x:c>
      <x:c r="P232" s="4" t="str">
        <x:f>IF(B232="Done",IF(OR(J232="",K232="",L232=""),"Add run evidence","Recorded"),IF(OR(B232="Blocked",B232="N/A"),IF(M232="","Add reason","Reason recorded"),""))</x:f>
      </x:c>
      <x:c r="Q232" s="4" t="str">
        <x:v>318bd495dee245f946d7c72127cb698bcf6e6680</x:v>
      </x:c>
    </x:row>
    <x:row r="233" ht="86" customHeight="1">
      <x:c r="A233" s="15" t="str">
        <x:v>SV-002</x:v>
      </x:c>
      <x:c r="B233" s="19" t="str">
        <x:v>Pending</x:v>
      </x:c>
      <x:c r="C233" s="21" t="str">
        <x:v>P0</x:v>
      </x:c>
      <x:c r="D233" s="15" t="str">
        <x:v>systemverilog-from-beginning</x:v>
      </x:c>
      <x:c r="E233" s="15" t="str">
        <x:v>Coverage FIFO</x:v>
      </x:c>
      <x:c r="F233" s="15" t="str">
        <x:v>Single write then single read</x:v>
      </x:c>
      <x:c r="G233" s="15" t="str">
        <x:v>clk, rst, wr_en, rd_en, din, dout, full, empty</x:v>
      </x:c>
      <x:c r="H233" s="15" t="str">
        <x:v>Write A5 with wr_en=1 while full=0; disable write; request one read with rd_en=1 while empty=0.</x:v>
      </x:c>
      <x:c r="I233" s="15" t="str">
        <x:v>empty clears after the write and asserts after the read. Compare dout AFTER the accepted clk edge and nonblocking updates, using the word at the pre-edge read pointer. Exactly one word is transferred.</x:v>
      </x:c>
      <x:c r="J233" s="17"/>
      <x:c r="K233" s="24"/>
      <x:c r="L233" s="17"/>
      <x:c r="M233" s="17"/>
      <x:c r="N233" s="15" t="str">
        <x:v>SV Functional Coverage/Projects/01-fifo-functional-coverage/design.sv</x:v>
      </x:c>
      <x:c r="O233" s="26" t="str">
        <x:v>https://github.com/kapiltrip/systemverilog-from-beginning/blob/318bd495dee245f946d7c72127cb698bcf6e6680/SV%20Functional%20Coverage/Projects/01-fifo-functional-coverage/design.sv</x:v>
      </x:c>
      <x:c r="P233" s="15" t="str">
        <x:f>IF(B233="Done",IF(OR(J233="",K233="",L233=""),"Add run evidence","Recorded"),IF(OR(B233="Blocked",B233="N/A"),IF(M233="","Add reason","Reason recorded"),""))</x:f>
      </x:c>
      <x:c r="Q233" s="15" t="str">
        <x:v>318bd495dee245f946d7c72127cb698bcf6e6680</x:v>
      </x:c>
    </x:row>
    <x:row r="234" ht="86" customHeight="1">
      <x:c r="A234" s="4" t="str">
        <x:v>SV-003</x:v>
      </x:c>
      <x:c r="B234" s="19" t="str">
        <x:v>Pending</x:v>
      </x:c>
      <x:c r="C234" s="20" t="str">
        <x:v>P0</x:v>
      </x:c>
      <x:c r="D234" s="4" t="str">
        <x:v>systemverilog-from-beginning</x:v>
      </x:c>
      <x:c r="E234" s="4" t="str">
        <x:v>Coverage FIFO</x:v>
      </x:c>
      <x:c r="F234" s="4" t="str">
        <x:v>Ordering and mixed data</x:v>
      </x:c>
      <x:c r="G234" s="4" t="str">
        <x:v>clk, rst, wr_en, rd_en, din, dout, full, empty</x:v>
      </x:c>
      <x:c r="H234" s="4" t="str">
        <x:v>Write 10,22,35,48 with gaps, then drain using isolated and consecutive rd_en requests.</x:v>
      </x:c>
      <x:c r="I234" s="4" t="str">
        <x:v>Read values are 10,22,35,48 in that order. Compare dout AFTER the accepted clk edge and nonblocking updates, using the word at the pre-edge read pointer.</x:v>
      </x:c>
      <x:c r="J234" s="17"/>
      <x:c r="K234" s="24"/>
      <x:c r="L234" s="17"/>
      <x:c r="M234" s="17"/>
      <x:c r="N234" s="4" t="str">
        <x:v>SV Functional Coverage/Projects/01-fifo-functional-coverage/design.sv</x:v>
      </x:c>
      <x:c r="O234" s="25" t="str">
        <x:v>https://github.com/kapiltrip/systemverilog-from-beginning/blob/318bd495dee245f946d7c72127cb698bcf6e6680/SV%20Functional%20Coverage/Projects/01-fifo-functional-coverage/design.sv</x:v>
      </x:c>
      <x:c r="P234" s="4" t="str">
        <x:f>IF(B234="Done",IF(OR(J234="",K234="",L234=""),"Add run evidence","Recorded"),IF(OR(B234="Blocked",B234="N/A"),IF(M234="","Add reason","Reason recorded"),""))</x:f>
      </x:c>
      <x:c r="Q234" s="4" t="str">
        <x:v>318bd495dee245f946d7c72127cb698bcf6e6680</x:v>
      </x:c>
    </x:row>
    <x:row r="235" ht="86" customHeight="1">
      <x:c r="A235" s="15" t="str">
        <x:v>SV-004</x:v>
      </x:c>
      <x:c r="B235" s="19" t="str">
        <x:v>Pending</x:v>
      </x:c>
      <x:c r="C235" s="21" t="str">
        <x:v>P0</x:v>
      </x:c>
      <x:c r="D235" s="15" t="str">
        <x:v>systemverilog-from-beginning</x:v>
      </x:c>
      <x:c r="E235" s="15" t="str">
        <x:v>Coverage FIFO</x:v>
      </x:c>
      <x:c r="F235" s="15" t="str">
        <x:v>Fill to capacity and reject overflow</x:v>
      </x:c>
      <x:c r="G235" s="15" t="str">
        <x:v>clk, rst, wr_en, rd_en, din, dout, full, empty</x:v>
      </x:c>
      <x:c r="H235" s="15" t="str">
        <x:v>With rd_en=0, issue exactly DEPTH writes (2^aw (default 256)); check one below full and full. Attempt three further writes with distinct data, then drain.</x:v>
      </x:c>
      <x:c r="I235" s="15" t="str">
        <x:v>full asserts only after the last available slot is used. Extra writes cannot move the write pointer or replace queued data. Draining returns the original DEPTH values.</x:v>
      </x:c>
      <x:c r="J235" s="17"/>
      <x:c r="K235" s="24"/>
      <x:c r="L235" s="17"/>
      <x:c r="M235" s="17"/>
      <x:c r="N235" s="15" t="str">
        <x:v>SV Functional Coverage/Projects/01-fifo-functional-coverage/design.sv</x:v>
      </x:c>
      <x:c r="O235" s="26" t="str">
        <x:v>https://github.com/kapiltrip/systemverilog-from-beginning/blob/318bd495dee245f946d7c72127cb698bcf6e6680/SV%20Functional%20Coverage/Projects/01-fifo-functional-coverage/design.sv</x:v>
      </x:c>
      <x:c r="P235" s="15" t="str">
        <x:f>IF(B235="Done",IF(OR(J235="",K235="",L235=""),"Add run evidence","Recorded"),IF(OR(B235="Blocked",B235="N/A"),IF(M235="","Add reason","Reason recorded"),""))</x:f>
      </x:c>
      <x:c r="Q235" s="15" t="str">
        <x:v>318bd495dee245f946d7c72127cb698bcf6e6680</x:v>
      </x:c>
    </x:row>
    <x:row r="236" ht="86" customHeight="1">
      <x:c r="A236" s="4" t="str">
        <x:v>SV-005</x:v>
      </x:c>
      <x:c r="B236" s="19" t="str">
        <x:v>Pending</x:v>
      </x:c>
      <x:c r="C236" s="20" t="str">
        <x:v>P0</x:v>
      </x:c>
      <x:c r="D236" s="4" t="str">
        <x:v>systemverilog-from-beginning</x:v>
      </x:c>
      <x:c r="E236" s="4" t="str">
        <x:v>Coverage FIFO</x:v>
      </x:c>
      <x:c r="F236" s="4" t="str">
        <x:v>Drain to empty and reject underflow</x:v>
      </x:c>
      <x:c r="G236" s="4" t="str">
        <x:v>clk, rst, wr_en, rd_en, din, dout, full, empty</x:v>
      </x:c>
      <x:c r="H236" s="4" t="str">
        <x:v>Fill and drain exactly DEPTH accepted reads. Keep rd_en=1 for three additional clocks with wr_en=0.</x:v>
      </x:c>
      <x:c r="I236" s="4" t="str">
        <x:v>empty asserts on the last accepted pop; extra reads do not advance the read pointer or change occupancy. dout holds the last accepted read while no read is accepted, and resets to zero.</x:v>
      </x:c>
      <x:c r="J236" s="17"/>
      <x:c r="K236" s="24"/>
      <x:c r="L236" s="17"/>
      <x:c r="M236" s="17"/>
      <x:c r="N236" s="4" t="str">
        <x:v>SV Functional Coverage/Projects/01-fifo-functional-coverage/design.sv</x:v>
      </x:c>
      <x:c r="O236" s="25" t="str">
        <x:v>https://github.com/kapiltrip/systemverilog-from-beginning/blob/318bd495dee245f946d7c72127cb698bcf6e6680/SV%20Functional%20Coverage/Projects/01-fifo-functional-coverage/design.sv</x:v>
      </x:c>
      <x:c r="P236" s="4" t="str">
        <x:f>IF(B236="Done",IF(OR(J236="",K236="",L236=""),"Add run evidence","Recorded"),IF(OR(B236="Blocked",B236="N/A"),IF(M236="","Add reason","Reason recorded"),""))</x:f>
      </x:c>
      <x:c r="Q236" s="4" t="str">
        <x:v>318bd495dee245f946d7c72127cb698bcf6e6680</x:v>
      </x:c>
    </x:row>
    <x:row r="237" ht="86" customHeight="1">
      <x:c r="A237" s="15" t="str">
        <x:v>SV-006</x:v>
      </x:c>
      <x:c r="B237" s="19" t="str">
        <x:v>Pending</x:v>
      </x:c>
      <x:c r="C237" s="21" t="str">
        <x:v>P0</x:v>
      </x:c>
      <x:c r="D237" s="15" t="str">
        <x:v>systemverilog-from-beginning</x:v>
      </x:c>
      <x:c r="E237" s="15" t="str">
        <x:v>Coverage FIFO</x:v>
      </x:c>
      <x:c r="F237" s="15" t="str">
        <x:v>Both enables in the middle</x:v>
      </x:c>
      <x:c r="G237" s="15" t="str">
        <x:v>clk, rst, wr_en, rd_en, din, dout, full, empty</x:v>
      </x:c>
      <x:c r="H237" s="15" t="str">
        <x:v>Prefill to half capacity. Keep wr_en=rd_en=1 for at least 2*DEPTH clocks with a changing din.</x:v>
      </x:c>
      <x:c r="I237" s="15" t="str">
        <x:v>Both operations are accepted on each edge and occupancy stays constant. The stream remains ordered across pointer wraps. Compare dout AFTER the accepted clk edge and nonblocking updates, using the word at the pre-edge read pointer.</x:v>
      </x:c>
      <x:c r="J237" s="17"/>
      <x:c r="K237" s="24"/>
      <x:c r="L237" s="17"/>
      <x:c r="M237" s="17"/>
      <x:c r="N237" s="15" t="str">
        <x:v>SV Functional Coverage/Projects/01-fifo-functional-coverage/design.sv</x:v>
      </x:c>
      <x:c r="O237" s="26" t="str">
        <x:v>https://github.com/kapiltrip/systemverilog-from-beginning/blob/318bd495dee245f946d7c72127cb698bcf6e6680/SV%20Functional%20Coverage/Projects/01-fifo-functional-coverage/design.sv</x:v>
      </x:c>
      <x:c r="P237" s="15" t="str">
        <x:f>IF(B237="Done",IF(OR(J237="",K237="",L237=""),"Add run evidence","Recorded"),IF(OR(B237="Blocked",B237="N/A"),IF(M237="","Add reason","Reason recorded"),""))</x:f>
      </x:c>
      <x:c r="Q237" s="15" t="str">
        <x:v>318bd495dee245f946d7c72127cb698bcf6e6680</x:v>
      </x:c>
    </x:row>
    <x:row r="238" ht="86" customHeight="1">
      <x:c r="A238" s="4" t="str">
        <x:v>SV-007</x:v>
      </x:c>
      <x:c r="B238" s="19" t="str">
        <x:v>Pending</x:v>
      </x:c>
      <x:c r="C238" s="20" t="str">
        <x:v>P0</x:v>
      </x:c>
      <x:c r="D238" s="4" t="str">
        <x:v>systemverilog-from-beginning</x:v>
      </x:c>
      <x:c r="E238" s="4" t="str">
        <x:v>Coverage FIFO</x:v>
      </x:c>
      <x:c r="F238" s="4" t="str">
        <x:v>Both enables when empty</x:v>
      </x:c>
      <x:c r="G238" s="4" t="str">
        <x:v>clk, rst, wr_en, rd_en, din, dout, full, empty</x:v>
      </x:c>
      <x:c r="H238" s="4" t="str">
        <x:v>Reset empty, then assert wr_en=rd_en=1 for one edge with din=3C.</x:v>
      </x:c>
      <x:c r="I238" s="4" t="str">
        <x:v>Only the write is accepted because the pre-edge empty=1. Occupancy becomes one. No same-edge bypass/pop of 3C is allowed.</x:v>
      </x:c>
      <x:c r="J238" s="17"/>
      <x:c r="K238" s="24"/>
      <x:c r="L238" s="17"/>
      <x:c r="M238" s="17"/>
      <x:c r="N238" s="4" t="str">
        <x:v>SV Functional Coverage/Projects/01-fifo-functional-coverage/design.sv</x:v>
      </x:c>
      <x:c r="O238" s="25" t="str">
        <x:v>https://github.com/kapiltrip/systemverilog-from-beginning/blob/318bd495dee245f946d7c72127cb698bcf6e6680/SV%20Functional%20Coverage/Projects/01-fifo-functional-coverage/design.sv</x:v>
      </x:c>
      <x:c r="P238" s="4" t="str">
        <x:f>IF(B238="Done",IF(OR(J238="",K238="",L238=""),"Add run evidence","Recorded"),IF(OR(B238="Blocked",B238="N/A"),IF(M238="","Add reason","Reason recorded"),""))</x:f>
      </x:c>
      <x:c r="Q238" s="4" t="str">
        <x:v>318bd495dee245f946d7c72127cb698bcf6e6680</x:v>
      </x:c>
    </x:row>
    <x:row r="239" ht="86" customHeight="1">
      <x:c r="A239" s="15" t="str">
        <x:v>SV-008</x:v>
      </x:c>
      <x:c r="B239" s="19" t="str">
        <x:v>Pending</x:v>
      </x:c>
      <x:c r="C239" s="21" t="str">
        <x:v>P0</x:v>
      </x:c>
      <x:c r="D239" s="15" t="str">
        <x:v>systemverilog-from-beginning</x:v>
      </x:c>
      <x:c r="E239" s="15" t="str">
        <x:v>Coverage FIFO</x:v>
      </x:c>
      <x:c r="F239" s="15" t="str">
        <x:v>Both enables when full</x:v>
      </x:c>
      <x:c r="G239" s="15" t="str">
        <x:v>clk, rst, wr_en, rd_en, din, dout, full, empty</x:v>
      </x:c>
      <x:c r="H239" s="15" t="str">
        <x:v>Fill to capacity; assert wr_en=rd_en=1 for one edge with a new din.</x:v>
      </x:c>
      <x:c r="I239" s="15" t="str">
        <x:v>Only the read is accepted because pre-edge full=1; the write is blocked and occupancy becomes DEPTH-1. Resend the new word later if it must be stored.</x:v>
      </x:c>
      <x:c r="J239" s="17"/>
      <x:c r="K239" s="24"/>
      <x:c r="L239" s="17"/>
      <x:c r="M239" s="17"/>
      <x:c r="N239" s="15" t="str">
        <x:v>SV Functional Coverage/Projects/01-fifo-functional-coverage/design.sv</x:v>
      </x:c>
      <x:c r="O239" s="26" t="str">
        <x:v>https://github.com/kapiltrip/systemverilog-from-beginning/blob/318bd495dee245f946d7c72127cb698bcf6e6680/SV%20Functional%20Coverage/Projects/01-fifo-functional-coverage/design.sv</x:v>
      </x:c>
      <x:c r="P239" s="15" t="str">
        <x:f>IF(B239="Done",IF(OR(J239="",K239="",L239=""),"Add run evidence","Recorded"),IF(OR(B239="Blocked",B239="N/A"),IF(M239="","Add reason","Reason recorded"),""))</x:f>
      </x:c>
      <x:c r="Q239" s="15" t="str">
        <x:v>318bd495dee245f946d7c72127cb698bcf6e6680</x:v>
      </x:c>
    </x:row>
    <x:row r="240" ht="86" customHeight="1">
      <x:c r="A240" s="4" t="str">
        <x:v>SV-009</x:v>
      </x:c>
      <x:c r="B240" s="19" t="str">
        <x:v>Pending</x:v>
      </x:c>
      <x:c r="C240" s="4" t="str">
        <x:v>P1</x:v>
      </x:c>
      <x:c r="D240" s="4" t="str">
        <x:v>systemverilog-from-beginning</x:v>
      </x:c>
      <x:c r="E240" s="4" t="str">
        <x:v>Coverage FIFO</x:v>
      </x:c>
      <x:c r="F240" s="4" t="str">
        <x:v>Idle and output validity</x:v>
      </x:c>
      <x:c r="G240" s="4" t="str">
        <x:v>clk, rst, wr_en, rd_en, din, dout, full, empty</x:v>
      </x:c>
      <x:c r="H240" s="4" t="str">
        <x:v>Pause both enables at empty, one word, half-full and full. Toggle din while idle.</x:v>
      </x:c>
      <x:c r="I240" s="4" t="str">
        <x:v>Pointers/count and flags hold. dout holds the last accepted read while no read is accepted, and resets to zero.</x:v>
      </x:c>
      <x:c r="J240" s="17"/>
      <x:c r="K240" s="24"/>
      <x:c r="L240" s="17"/>
      <x:c r="M240" s="17"/>
      <x:c r="N240" s="4" t="str">
        <x:v>SV Functional Coverage/Projects/01-fifo-functional-coverage/design.sv</x:v>
      </x:c>
      <x:c r="O240" s="25" t="str">
        <x:v>https://github.com/kapiltrip/systemverilog-from-beginning/blob/318bd495dee245f946d7c72127cb698bcf6e6680/SV%20Functional%20Coverage/Projects/01-fifo-functional-coverage/design.sv</x:v>
      </x:c>
      <x:c r="P240" s="4" t="str">
        <x:f>IF(B240="Done",IF(OR(J240="",K240="",L240=""),"Add run evidence","Recorded"),IF(OR(B240="Blocked",B240="N/A"),IF(M240="","Add reason","Reason recorded"),""))</x:f>
      </x:c>
      <x:c r="Q240" s="4" t="str">
        <x:v>318bd495dee245f946d7c72127cb698bcf6e6680</x:v>
      </x:c>
    </x:row>
    <x:row r="241" ht="86" customHeight="1">
      <x:c r="A241" s="15" t="str">
        <x:v>SV-010</x:v>
      </x:c>
      <x:c r="B241" s="19" t="str">
        <x:v>Pending</x:v>
      </x:c>
      <x:c r="C241" s="15" t="str">
        <x:v>P1</x:v>
      </x:c>
      <x:c r="D241" s="15" t="str">
        <x:v>systemverilog-from-beginning</x:v>
      </x:c>
      <x:c r="E241" s="15" t="str">
        <x:v>Coverage FIFO</x:v>
      </x:c>
      <x:c r="F241" s="15" t="str">
        <x:v>Repeated wraparound</x:v>
      </x:c>
      <x:c r="G241" s="15" t="str">
        <x:v>clk, rst, wr_en, rd_en, din, dout, full, empty</x:v>
      </x:c>
      <x:c r="H241" s="15" t="str">
        <x:v>Alternate fill/drain and mixed bursts until each pointer wraps at least four times. Use a sequence number for every accepted write.</x:v>
      </x:c>
      <x:c r="I241" s="15" t="str">
        <x:v>No duplication, loss or reordering. Counts stay between zero and DEPTH; full and empty cannot both be true.</x:v>
      </x:c>
      <x:c r="J241" s="17"/>
      <x:c r="K241" s="24"/>
      <x:c r="L241" s="17"/>
      <x:c r="M241" s="17"/>
      <x:c r="N241" s="15" t="str">
        <x:v>SV Functional Coverage/Projects/01-fifo-functional-coverage/design.sv</x:v>
      </x:c>
      <x:c r="O241" s="26" t="str">
        <x:v>https://github.com/kapiltrip/systemverilog-from-beginning/blob/318bd495dee245f946d7c72127cb698bcf6e6680/SV%20Functional%20Coverage/Projects/01-fifo-functional-coverage/design.sv</x:v>
      </x:c>
      <x:c r="P241" s="15" t="str">
        <x:f>IF(B241="Done",IF(OR(J241="",K241="",L241=""),"Add run evidence","Recorded"),IF(OR(B241="Blocked",B241="N/A"),IF(M241="","Add reason","Reason recorded"),""))</x:f>
      </x:c>
      <x:c r="Q241" s="15" t="str">
        <x:v>318bd495dee245f946d7c72127cb698bcf6e6680</x:v>
      </x:c>
    </x:row>
    <x:row r="242" ht="86" customHeight="1">
      <x:c r="A242" s="4" t="str">
        <x:v>SV-011</x:v>
      </x:c>
      <x:c r="B242" s="19" t="str">
        <x:v>Pending</x:v>
      </x:c>
      <x:c r="C242" s="4" t="str">
        <x:v>P1</x:v>
      </x:c>
      <x:c r="D242" s="4" t="str">
        <x:v>systemverilog-from-beginning</x:v>
      </x:c>
      <x:c r="E242" s="4" t="str">
        <x:v>Coverage FIFO</x:v>
      </x:c>
      <x:c r="F242" s="4" t="str">
        <x:v>Reset with queued traffic</x:v>
      </x:c>
      <x:c r="G242" s="4" t="str">
        <x:v>clk, rst, wr_en, rd_en, din, dout, full, empty</x:v>
      </x:c>
      <x:c r="H242" s="4" t="str">
        <x:v>Prefill, assert rst during traffic, then hold enables low through reset. Discard the software reference queue; release reset and write fresh values.</x:v>
      </x:c>
      <x:c r="I242" s="4" t="str">
        <x:v>Old queued values are discarded logically. The first fresh drain returns only post-reset accepted writes. dout holds the last accepted read while no read is accepted, and resets to zero.</x:v>
      </x:c>
      <x:c r="J242" s="17"/>
      <x:c r="K242" s="24"/>
      <x:c r="L242" s="17"/>
      <x:c r="M242" s="17"/>
      <x:c r="N242" s="4" t="str">
        <x:v>SV Functional Coverage/Projects/01-fifo-functional-coverage/design.sv</x:v>
      </x:c>
      <x:c r="O242" s="25" t="str">
        <x:v>https://github.com/kapiltrip/systemverilog-from-beginning/blob/318bd495dee245f946d7c72127cb698bcf6e6680/SV%20Functional%20Coverage/Projects/01-fifo-functional-coverage/design.sv</x:v>
      </x:c>
      <x:c r="P242" s="4" t="str">
        <x:f>IF(B242="Done",IF(OR(J242="",K242="",L242=""),"Add run evidence","Recorded"),IF(OR(B242="Blocked",B242="N/A"),IF(M242="","Add reason","Reason recorded"),""))</x:f>
      </x:c>
      <x:c r="Q242" s="4" t="str">
        <x:v>318bd495dee245f946d7c72127cb698bcf6e6680</x:v>
      </x:c>
    </x:row>
    <x:row r="243" ht="86" customHeight="1">
      <x:c r="A243" s="15" t="str">
        <x:v>SV-012</x:v>
      </x:c>
      <x:c r="B243" s="19" t="str">
        <x:v>Pending</x:v>
      </x:c>
      <x:c r="C243" s="15" t="str">
        <x:v>P2</x:v>
      </x:c>
      <x:c r="D243" s="15" t="str">
        <x:v>systemverilog-from-beginning</x:v>
      </x:c>
      <x:c r="E243" s="15" t="str">
        <x:v>Coverage FIFO</x:v>
      </x:c>
      <x:c r="F243" s="15" t="str">
        <x:v>Random bursts with a reference queue</x:v>
      </x:c>
      <x:c r="G243" s="15" t="str">
        <x:v>clk, rst, wr_en, rd_en, din, dout, full, empty</x:v>
      </x:c>
      <x:c r="H243" s="15" t="str">
        <x:v>Run 1000 or more edges for each of three recorded seeds. Bias requests toward empty/full and one-away states. Queue only writes accepted by pre-edge flags and dequeue only accepted reads.</x:v>
      </x:c>
      <x:c r="I243" s="15" t="str">
        <x:v>Every accepted read matches the oldest reference word. End by draining and proving the reference queue empty. Compare dout AFTER the accepted clk edge and nonblocking updates, using the word at the pre-edge read pointer.</x:v>
      </x:c>
      <x:c r="J243" s="17"/>
      <x:c r="K243" s="24"/>
      <x:c r="L243" s="17"/>
      <x:c r="M243" s="17"/>
      <x:c r="N243" s="15" t="str">
        <x:v>SV Functional Coverage/Projects/01-fifo-functional-coverage/design.sv</x:v>
      </x:c>
      <x:c r="O243" s="26" t="str">
        <x:v>https://github.com/kapiltrip/systemverilog-from-beginning/blob/318bd495dee245f946d7c72127cb698bcf6e6680/SV%20Functional%20Coverage/Projects/01-fifo-functional-coverage/design.sv</x:v>
      </x:c>
      <x:c r="P243" s="15" t="str">
        <x:f>IF(B243="Done",IF(OR(J243="",K243="",L243=""),"Add run evidence","Recorded"),IF(OR(B243="Blocked",B243="N/A"),IF(M243="","Add reason","Reason recorded"),""))</x:f>
      </x:c>
      <x:c r="Q243" s="15" t="str">
        <x:v>318bd495dee245f946d7c72127cb698bcf6e6680</x:v>
      </x:c>
    </x:row>
    <x:row r="244" ht="86" customHeight="1">
      <x:c r="A244" s="4" t="str">
        <x:v>SV-013</x:v>
      </x:c>
      <x:c r="B244" s="19" t="str">
        <x:v>Pending</x:v>
      </x:c>
      <x:c r="C244" s="20" t="str">
        <x:v>P0</x:v>
      </x:c>
      <x:c r="D244" s="4" t="str">
        <x:v>systemverilog-from-beginning</x:v>
      </x:c>
      <x:c r="E244" s="4" t="str">
        <x:v>Counter</x:v>
      </x:c>
      <x:c r="F244" s="4" t="str">
        <x:v>Reset/load/direction priority and unused input</x:v>
      </x:c>
      <x:c r="G244" s="4" t="str">
        <x:v>clk, rst, up, load, loadIn, x, y</x:v>
      </x:c>
      <x:c r="H244" s="4" t="str">
        <x:v>Set rst and load together; then load with either up value; traverse 255-&gt;0 and 0-&gt;255. Toggle x independently.</x:v>
      </x:c>
      <x:c r="I244" s="4" t="str">
        <x:v>Priority is rst then load then up/down. y wraps modulo 256. x is unused in this RTL and must not influence y.</x:v>
      </x:c>
      <x:c r="J244" s="17"/>
      <x:c r="K244" s="24"/>
      <x:c r="L244" s="17"/>
      <x:c r="M244" s="17"/>
      <x:c r="N244" s="4" t="str">
        <x:v>SV Functional Coverage/Projects/02-counter-functional-coverage/design.sv</x:v>
      </x:c>
      <x:c r="O244" s="25" t="str">
        <x:v>https://github.com/kapiltrip/systemverilog-from-beginning/blob/318bd495dee245f946d7c72127cb698bcf6e6680/SV%20Functional%20Coverage/Projects/02-counter-functional-coverage/design.sv</x:v>
      </x:c>
      <x:c r="P244" s="4" t="str">
        <x:f>IF(B244="Done",IF(OR(J244="",K244="",L244=""),"Add run evidence","Recorded"),IF(OR(B244="Blocked",B244="N/A"),IF(M244="","Add reason","Reason recorded"),""))</x:f>
      </x:c>
      <x:c r="Q244" s="4" t="str">
        <x:v>318bd495dee245f946d7c72127cb698bcf6e6680</x:v>
      </x:c>
    </x:row>
    <x:row r="245" ht="86" customHeight="1">
      <x:c r="A245" s="15" t="str">
        <x:v>SV-014</x:v>
      </x:c>
      <x:c r="B245" s="19" t="str">
        <x:v>Pending</x:v>
      </x:c>
      <x:c r="C245" s="21" t="str">
        <x:v>P0</x:v>
      </x:c>
      <x:c r="D245" s="15" t="str">
        <x:v>systemverilog-from-beginning</x:v>
      </x:c>
      <x:c r="E245" s="15" t="str">
        <x:v>Priority encoder</x:v>
      </x:c>
      <x:c r="F245" s="15" t="str">
        <x:v>One-hot and multiple-request priority</x:v>
      </x:c>
      <x:c r="G245" s="15" t="str">
        <x:v>x, y</x:v>
      </x:c>
      <x:c r="H245" s="15" t="str">
        <x:v>Drive x=01,02,04,08,10,20,40,80, then simultaneous requests and x=0.</x:v>
      </x:c>
      <x:c r="I245" s="15" t="str">
        <x:v>Intended y is the highest asserted x bit. The current RTL cases on y instead of x, so this directed test should expose the error. Define the zero-input convention separately (current default is Z).</x:v>
      </x:c>
      <x:c r="J245" s="17"/>
      <x:c r="K245" s="24"/>
      <x:c r="L245" s="17"/>
      <x:c r="M245" s="17" t="str">
        <x:v>Static source defect; no simulation run claimed.</x:v>
      </x:c>
      <x:c r="N245" s="15" t="str">
        <x:v>SV Functional Coverage/Projects/04-priority-encoder-functional-coverage/design.sv</x:v>
      </x:c>
      <x:c r="O245" s="26" t="str">
        <x:v>https://github.com/kapiltrip/systemverilog-from-beginning/blob/318bd495dee245f946d7c72127cb698bcf6e6680/SV%20Functional%20Coverage/Projects/04-priority-encoder-functional-coverage/design.sv</x:v>
      </x:c>
      <x:c r="P245" s="15" t="str">
        <x:f>IF(B245="Done",IF(OR(J245="",K245="",L245=""),"Add run evidence","Recorded"),IF(OR(B245="Blocked",B245="N/A"),IF(M245="","Add reason","Reason recorded"),""))</x:f>
      </x:c>
      <x:c r="Q245" s="15" t="str">
        <x:v>318bd495dee245f946d7c72127cb698bcf6e6680</x:v>
      </x:c>
    </x:row>
    <x:row r="246" ht="86" customHeight="1">
      <x:c r="A246" s="4" t="str">
        <x:v>SV-015</x:v>
      </x:c>
      <x:c r="B246" s="23" t="str">
        <x:v>Blocked</x:v>
      </x:c>
      <x:c r="C246" s="20" t="str">
        <x:v>P0</x:v>
      </x:c>
      <x:c r="D246" s="4" t="str">
        <x:v>systemverilog-from-beginning</x:v>
      </x:c>
      <x:c r="E246" s="4" t="str">
        <x:v>SPI DAC</x:v>
      </x:c>
      <x:c r="F246" s="4" t="str">
        <x:v>Startup and frame capture</x:v>
      </x:c>
      <x:c r="G246" s="4" t="str">
        <x:v>clk, start, din, cs, mosi</x:v>
      </x:c>
      <x:c r="H246" s="4" t="str">
        <x:v>Start a fresh simulation, hold start low, then request din=ABC and observe the two 32-bit transfers under cs.</x:v>
      </x:c>
      <x:c r="I246" s="4" t="str">
        <x:v>Expected setup stream is 08000001, then payload 030ABC00, both MSB first. However state has no reset/initialization and can remain unknown; establish startup before claiming frame success.</x:v>
      </x:c>
      <x:c r="J246" s="17"/>
      <x:c r="K246" s="24"/>
      <x:c r="L246" s="17"/>
      <x:c r="M246" s="17" t="str">
        <x:v>No reset port and uninitialized enum state. Existing bench forcing/initialization must be explicit.</x:v>
      </x:c>
      <x:c r="N246" s="4" t="str">
        <x:v>SV Functional Coverage/Projects/05-spi-transition-coverage/design.sv</x:v>
      </x:c>
      <x:c r="O246" s="25" t="str">
        <x:v>https://github.com/kapiltrip/systemverilog-from-beginning/blob/318bd495dee245f946d7c72127cb698bcf6e6680/SV%20Functional%20Coverage/Projects/05-spi-transition-coverage/design.sv</x:v>
      </x:c>
      <x:c r="P246" s="4" t="str">
        <x:f>IF(B246="Done",IF(OR(J246="",K246="",L246=""),"Add run evidence","Recorded"),IF(OR(B246="Blocked",B246="N/A"),IF(M246="","Add reason","Reason recorded"),""))</x:f>
        <x:v>Reason recorded</x:v>
      </x:c>
      <x:c r="Q246" s="4" t="str">
        <x:v>318bd495dee245f946d7c72127cb698bcf6e6680</x:v>
      </x:c>
    </x:row>
    <x:row r="247" ht="86" customHeight="1">
      <x:c r="A247" s="15" t="str">
        <x:v>RA-001</x:v>
      </x:c>
      <x:c r="B247" s="19" t="str">
        <x:v>Pending</x:v>
      </x:c>
      <x:c r="C247" s="21" t="str">
        <x:v>P0</x:v>
      </x:c>
      <x:c r="D247" s="15" t="str">
        <x:v>RevisionAtlas</x:v>
      </x:c>
      <x:c r="E247" s="15" t="str">
        <x:v>AHB-Lite manager</x:v>
      </x:c>
      <x:c r="F247" s="15" t="str">
        <x:v>Single transfer and data phase</x:v>
      </x:c>
      <x:c r="G247" s="15" t="str">
        <x:v>HCLK, HRESETn, req_valid, req_ready, req_write, req_addr, req_wdata, HADDR, HTRANS, HWDATA, HRDATA, HREADY, done, rsp_rdata</x:v>
      </x:c>
      <x:c r="H247" s="15" t="str">
        <x:v>Accept an aligned single read and write; return/read distinct words, first without waits then with waits.</x:v>
      </x:c>
      <x:c r="I247" s="15" t="str">
        <x:v>One accepted address phase is followed by its data phase. done pulses only when the final data phase completes; rsp_rdata[31:0] contains the single read word.</x:v>
      </x:c>
      <x:c r="J247" s="17"/>
      <x:c r="K247" s="24"/>
      <x:c r="L247" s="17"/>
      <x:c r="M247" s="17"/>
      <x:c r="N247" s="15" t="str">
        <x:v>Protocols/04 AMBA/01 AHB/code/rtl/ahb_lite_manager.v</x:v>
      </x:c>
      <x:c r="O247" s="26" t="str">
        <x:v>https://github.com/kapiltrip/RevisionAtlas/blob/2f827008d725333643a78e6c31935ab24cb4e6b7/Protocols/04%20AMBA/01%20AHB/code/rtl/ahb_lite_manager.v</x:v>
      </x:c>
      <x:c r="P247" s="15" t="str">
        <x:f>IF(B247="Done",IF(OR(J247="",K247="",L247=""),"Add run evidence","Recorded"),IF(OR(B247="Blocked",B247="N/A"),IF(M247="","Add reason","Reason recorded"),""))</x:f>
      </x:c>
      <x:c r="Q247" s="15" t="str">
        <x:v>2f827008d725333643a78e6c31935ab24cb4e6b7</x:v>
      </x:c>
    </x:row>
    <x:row r="248" ht="86" customHeight="1">
      <x:c r="A248" s="4" t="str">
        <x:v>RA-002</x:v>
      </x:c>
      <x:c r="B248" s="19" t="str">
        <x:v>Pending</x:v>
      </x:c>
      <x:c r="C248" s="20" t="str">
        <x:v>P0</x:v>
      </x:c>
      <x:c r="D248" s="4" t="str">
        <x:v>RevisionAtlas</x:v>
      </x:c>
      <x:c r="E248" s="4" t="str">
        <x:v>AHB-Lite manager</x:v>
      </x:c>
      <x:c r="F248" s="4" t="str">
        <x:v>INCR4 and WRAP4 address sequence</x:v>
      </x:c>
      <x:c r="G248" s="4" t="str">
        <x:v>HCLK, req_burst, req_addr, HADDR, HBURST, HTRANS, HREADY</x:v>
      </x:c>
      <x:c r="H248" s="4" t="str">
        <x:v>At req_addr=0x1C, issue req_burst=01 then 10 with all four data beats distinct.</x:v>
      </x:c>
      <x:c r="I248" s="4" t="str">
        <x:v>INCR4 addresses are 1C,20,24,28. WRAP4 addresses are 1C,10,14,18. First HTRANS is NONSEQ, later active beats SEQ; capture four read words in increasing 32-bit slices.</x:v>
      </x:c>
      <x:c r="J248" s="17"/>
      <x:c r="K248" s="24"/>
      <x:c r="L248" s="17"/>
      <x:c r="M248" s="17"/>
      <x:c r="N248" s="4" t="str">
        <x:v>Protocols/04 AMBA/01 AHB/code/rtl/ahb_lite_manager.v</x:v>
      </x:c>
      <x:c r="O248" s="25" t="str">
        <x:v>https://github.com/kapiltrip/RevisionAtlas/blob/2f827008d725333643a78e6c31935ab24cb4e6b7/Protocols/04%20AMBA/01%20AHB/code/rtl/ahb_lite_manager.v</x:v>
      </x:c>
      <x:c r="P248" s="4" t="str">
        <x:f>IF(B248="Done",IF(OR(J248="",K248="",L248=""),"Add run evidence","Recorded"),IF(OR(B248="Blocked",B248="N/A"),IF(M248="","Add reason","Reason recorded"),""))</x:f>
      </x:c>
      <x:c r="Q248" s="4" t="str">
        <x:v>2f827008d725333643a78e6c31935ab24cb4e6b7</x:v>
      </x:c>
    </x:row>
    <x:row r="249" ht="86" customHeight="1">
      <x:c r="A249" s="15" t="str">
        <x:v>RA-003</x:v>
      </x:c>
      <x:c r="B249" s="19" t="str">
        <x:v>Pending</x:v>
      </x:c>
      <x:c r="C249" s="21" t="str">
        <x:v>P0</x:v>
      </x:c>
      <x:c r="D249" s="15" t="str">
        <x:v>RevisionAtlas</x:v>
      </x:c>
      <x:c r="E249" s="15" t="str">
        <x:v>AHB-Lite manager</x:v>
      </x:c>
      <x:c r="F249" s="15" t="str">
        <x:v>Wait states and stable payload</x:v>
      </x:c>
      <x:c r="G249" s="15" t="str">
        <x:v>HCLK, HREADY, HRESP, HADDR, HTRANS, HWRITE, HWDATA</x:v>
      </x:c>
      <x:c r="H249" s="15" t="str">
        <x:v>Insert HREADY=0 waits on every address/data position without asserting HRESP.</x:v>
      </x:c>
      <x:c r="I249" s="15" t="str">
        <x:v>Address/control and active data remain stable during ordinary waits; counters do not double-count accepted transfers. Test two-cycle error handling separately because HTRANS may change during an error response.</x:v>
      </x:c>
      <x:c r="J249" s="17"/>
      <x:c r="K249" s="24"/>
      <x:c r="L249" s="17"/>
      <x:c r="M249" s="17"/>
      <x:c r="N249" s="15" t="str">
        <x:v>Protocols/04 AMBA/01 AHB/code/rtl/ahb_lite_manager.v</x:v>
      </x:c>
      <x:c r="O249" s="26" t="str">
        <x:v>https://github.com/kapiltrip/RevisionAtlas/blob/2f827008d725333643a78e6c31935ab24cb4e6b7/Protocols/04%20AMBA/01%20AHB/code/rtl/ahb_lite_manager.v</x:v>
      </x:c>
      <x:c r="P249" s="15" t="str">
        <x:f>IF(B249="Done",IF(OR(J249="",K249="",L249=""),"Add run evidence","Recorded"),IF(OR(B249="Blocked",B249="N/A"),IF(M249="","Add reason","Reason recorded"),""))</x:f>
      </x:c>
      <x:c r="Q249" s="15" t="str">
        <x:v>2f827008d725333643a78e6c31935ab24cb4e6b7</x:v>
      </x:c>
    </x:row>
    <x:row r="250" ht="86" customHeight="1">
      <x:c r="A250" s="4" t="str">
        <x:v>RA-004</x:v>
      </x:c>
      <x:c r="B250" s="19" t="str">
        <x:v>Pending</x:v>
      </x:c>
      <x:c r="C250" s="20" t="str">
        <x:v>P0</x:v>
      </x:c>
      <x:c r="D250" s="4" t="str">
        <x:v>RevisionAtlas</x:v>
      </x:c>
      <x:c r="E250" s="4" t="str">
        <x:v>AHB-Lite manager</x:v>
      </x:c>
      <x:c r="F250" s="4" t="str">
        <x:v>Invalid local request and bus error</x:v>
      </x:c>
      <x:c r="G250" s="4" t="str">
        <x:v>HCLK, HRESETn, req_valid, req_addr, req_burst, HREADY, HRESP, done, error</x:v>
      </x:c>
      <x:c r="H250" s="4" t="str">
        <x:v>Try misaligned address and req_burst=11. Separately inject two-cycle HRESP error during each data beat.</x:v>
      </x:c>
      <x:c r="I250" s="4" t="str">
        <x:v>Invalid requests produce done/error without launching a valid bus transfer. Bus errors terminate once, report error and permit the next legal request.</x:v>
      </x:c>
      <x:c r="J250" s="17"/>
      <x:c r="K250" s="24"/>
      <x:c r="L250" s="17"/>
      <x:c r="M250" s="17"/>
      <x:c r="N250" s="4" t="str">
        <x:v>Protocols/04 AMBA/01 AHB/code/rtl/ahb_lite_manager.v</x:v>
      </x:c>
      <x:c r="O250" s="25" t="str">
        <x:v>https://github.com/kapiltrip/RevisionAtlas/blob/2f827008d725333643a78e6c31935ab24cb4e6b7/Protocols/04%20AMBA/01%20AHB/code/rtl/ahb_lite_manager.v</x:v>
      </x:c>
      <x:c r="P250" s="4" t="str">
        <x:f>IF(B250="Done",IF(OR(J250="",K250="",L250=""),"Add run evidence","Recorded"),IF(OR(B250="Blocked",B250="N/A"),IF(M250="","Add reason","Reason recorded"),""))</x:f>
      </x:c>
      <x:c r="Q250" s="4" t="str">
        <x:v>2f827008d725333643a78e6c31935ab24cb4e6b7</x:v>
      </x:c>
    </x:row>
    <x:row r="251" ht="86" customHeight="1">
      <x:c r="A251" s="15" t="str">
        <x:v>RA-005</x:v>
      </x:c>
      <x:c r="B251" s="19" t="str">
        <x:v>Pending</x:v>
      </x:c>
      <x:c r="C251" s="21" t="str">
        <x:v>P0</x:v>
      </x:c>
      <x:c r="D251" s="15" t="str">
        <x:v>RevisionAtlas</x:v>
      </x:c>
      <x:c r="E251" s="15" t="str">
        <x:v>AHB-Lite manager</x:v>
      </x:c>
      <x:c r="F251" s="15" t="str">
        <x:v>Reset during an active transfer</x:v>
      </x:c>
      <x:c r="G251" s="15" t="str">
        <x:v>HCLK, HRESETn, req_ready, HTRANS, done, error</x:v>
      </x:c>
      <x:c r="H251" s="15" t="str">
        <x:v>Reset with HREADY low during a burst, release and submit a new single transfer.</x:v>
      </x:c>
      <x:c r="I251" s="15" t="str">
        <x:v>State returns idle, HTRANS=IDLE, completion/error clear, and the new request starts cleanly. Discard pre-reset reference transactions.</x:v>
      </x:c>
      <x:c r="J251" s="17"/>
      <x:c r="K251" s="24"/>
      <x:c r="L251" s="17"/>
      <x:c r="M251" s="17"/>
      <x:c r="N251" s="15" t="str">
        <x:v>Protocols/04 AMBA/01 AHB/code/rtl/ahb_lite_manager.v</x:v>
      </x:c>
      <x:c r="O251" s="26" t="str">
        <x:v>https://github.com/kapiltrip/RevisionAtlas/blob/2f827008d725333643a78e6c31935ab24cb4e6b7/Protocols/04%20AMBA/01%20AHB/code/rtl/ahb_lite_manager.v</x:v>
      </x:c>
      <x:c r="P251" s="15" t="str">
        <x:f>IF(B251="Done",IF(OR(J251="",K251="",L251=""),"Add run evidence","Recorded"),IF(OR(B251="Blocked",B251="N/A"),IF(M251="","Add reason","Reason recorded"),""))</x:f>
      </x:c>
      <x:c r="Q251" s="15" t="str">
        <x:v>2f827008d725333643a78e6c31935ab24cb4e6b7</x:v>
      </x:c>
    </x:row>
    <x:row r="252" ht="86" customHeight="1">
      <x:c r="A252" s="4" t="str">
        <x:v>RA-006</x:v>
      </x:c>
      <x:c r="B252" s="19" t="str">
        <x:v>Pending</x:v>
      </x:c>
      <x:c r="C252" s="20" t="str">
        <x:v>P0</x:v>
      </x:c>
      <x:c r="D252" s="4" t="str">
        <x:v>RevisionAtlas</x:v>
      </x:c>
      <x:c r="E252" s="4" t="str">
        <x:v>AXI Stream master</x:v>
      </x:c>
      <x:c r="F252" s="4" t="str">
        <x:v>Four accepted beats and TLAST</x:v>
      </x:c>
      <x:c r="G252" s="4" t="str">
        <x:v>m_axis_aclk, m_axis_aresetn, newd, din, m_axis_tvalid, m_axis_tready, m_axis_tdata, m_axis_tlast</x:v>
      </x:c>
      <x:c r="H252" s="4" t="str">
        <x:v>Pulse newd with din=7 held constant; vary m_axis_tready to insert stalls.</x:v>
      </x:c>
      <x:c r="I252" s="4" t="str">
        <x:v>Accepted data beats are 0,7,14,21 (8-bit truncated arithmetic); m_axis_tlast is true only on the fourth beat. Count transfers only when valid and ready are both high.</x:v>
      </x:c>
      <x:c r="J252" s="17"/>
      <x:c r="K252" s="24"/>
      <x:c r="L252" s="17"/>
      <x:c r="M252" s="17"/>
      <x:c r="N252" s="4" t="str">
        <x:v>Protocols/04 AMBA/03 AXI/Code/Section 02 - AXI-Stream Interface Fundamentals/Lessons 020-022 - AXIS Master/rtl/axis_m.sv</x:v>
      </x:c>
      <x:c r="O252" s="25" t="str">
        <x:v>https://github.com/kapiltrip/RevisionAtlas/blob/2f827008d725333643a78e6c31935ab24cb4e6b7/Protocols/04%20AMBA/03%20AXI/Code/Section%2002%20-%20AXI-Stream%20Interface%20Fundamentals/Lessons%20020-022%20-%20AXIS%20Master/rtl/axis_m.sv</x:v>
      </x:c>
      <x:c r="P252" s="4" t="str">
        <x:f>IF(B252="Done",IF(OR(J252="",K252="",L252=""),"Add run evidence","Recorded"),IF(OR(B252="Blocked",B252="N/A"),IF(M252="","Add reason","Reason recorded"),""))</x:f>
      </x:c>
      <x:c r="Q252" s="4" t="str">
        <x:v>2f827008d725333643a78e6c31935ab24cb4e6b7</x:v>
      </x:c>
    </x:row>
    <x:row r="253" ht="86" customHeight="1">
      <x:c r="A253" s="15" t="str">
        <x:v>RA-007</x:v>
      </x:c>
      <x:c r="B253" s="19" t="str">
        <x:v>Pending</x:v>
      </x:c>
      <x:c r="C253" s="21" t="str">
        <x:v>P0</x:v>
      </x:c>
      <x:c r="D253" s="15" t="str">
        <x:v>RevisionAtlas</x:v>
      </x:c>
      <x:c r="E253" s="15" t="str">
        <x:v>AXI Stream master</x:v>
      </x:c>
      <x:c r="F253" s="15" t="str">
        <x:v>Payload stability under stall</x:v>
      </x:c>
      <x:c r="G253" s="15" t="str">
        <x:v>m_axis_aclk, din, m_axis_tvalid, m_axis_tready, m_axis_tdata, m_axis_tlast</x:v>
      </x:c>
      <x:c r="H253" s="15" t="str">
        <x:v>Stall a nonzero-count beat with m_axis_tready=0; change din while watching output data.</x:v>
      </x:c>
      <x:c r="I253" s="15" t="str">
        <x:v>A pending stream beat must remain stable through acceptance. Current m_axis_tdata depends directly on din, so varying din exposes a stability problem unless the application explicitly holds din for the entire packet.</x:v>
      </x:c>
      <x:c r="J253" s="17"/>
      <x:c r="K253" s="24"/>
      <x:c r="L253" s="17"/>
      <x:c r="M253" s="17" t="str">
        <x:v>Document input-hold contract or record a design issue.</x:v>
      </x:c>
      <x:c r="N253" s="15" t="str">
        <x:v>Protocols/04 AMBA/03 AXI/Code/Section 02 - AXI-Stream Interface Fundamentals/Lessons 020-022 - AXIS Master/rtl/axis_m.sv</x:v>
      </x:c>
      <x:c r="O253" s="26" t="str">
        <x:v>https://github.com/kapiltrip/RevisionAtlas/blob/2f827008d725333643a78e6c31935ab24cb4e6b7/Protocols/04%20AMBA/03%20AXI/Code/Section%2002%20-%20AXI-Stream%20Interface%20Fundamentals/Lessons%20020-022%20-%20AXIS%20Master/rtl/axis_m.sv</x:v>
      </x:c>
      <x:c r="P253" s="15" t="str">
        <x:f>IF(B253="Done",IF(OR(J253="",K253="",L253=""),"Add run evidence","Recorded"),IF(OR(B253="Blocked",B253="N/A"),IF(M253="","Add reason","Reason recorded"),""))</x:f>
      </x:c>
      <x:c r="Q253" s="15" t="str">
        <x:v>2f827008d725333643a78e6c31935ab24cb4e6b7</x:v>
      </x:c>
    </x:row>
    <x:row r="254" ht="86" customHeight="1">
      <x:c r="A254" s="4" t="str">
        <x:v>RA-008</x:v>
      </x:c>
      <x:c r="B254" s="19" t="str">
        <x:v>Pending</x:v>
      </x:c>
      <x:c r="C254" s="20" t="str">
        <x:v>P0</x:v>
      </x:c>
      <x:c r="D254" s="4" t="str">
        <x:v>RevisionAtlas</x:v>
      </x:c>
      <x:c r="E254" s="4" t="str">
        <x:v>AXI Stream receiver</x:v>
      </x:c>
      <x:c r="F254" s="4" t="str">
        <x:v>Valid gaps and last beat</x:v>
      </x:c>
      <x:c r="G254" s="4" t="str">
        <x:v>s_axis_aclk, s_axis_aresetn, s_axis_tvalid, s_axis_tready, s_axis_tdata, s_axis_tlast, dout</x:v>
      </x:c>
      <x:c r="H254" s="4" t="str">
        <x:v>Send one-beat and four-beat packets with valid gaps; hold the first beat until ready.</x:v>
      </x:c>
      <x:c r="I254" s="4" t="str">
        <x:v>Observe a byte only on a valid-and-ready edge. dout is a combinational view in the store state, not a latched last value. Packet gaps must not create duplicate acceptance.</x:v>
      </x:c>
      <x:c r="J254" s="17"/>
      <x:c r="K254" s="24"/>
      <x:c r="L254" s="17"/>
      <x:c r="M254" s="17"/>
      <x:c r="N254" s="4" t="str">
        <x:v>Protocols/04 AMBA/03 AXI/Code/Section 02 - AXI-Stream Interface Fundamentals/Lessons 023-026 - AXIS Slave/rtl/axis_s.sv</x:v>
      </x:c>
      <x:c r="O254" s="25" t="str">
        <x:v>https://github.com/kapiltrip/RevisionAtlas/blob/2f827008d725333643a78e6c31935ab24cb4e6b7/Protocols/04%20AMBA/03%20AXI/Code/Section%2002%20-%20AXI-Stream%20Interface%20Fundamentals/Lessons%20023-026%20-%20AXIS%20Slave/rtl/axis_s.sv</x:v>
      </x:c>
      <x:c r="P254" s="4" t="str">
        <x:f>IF(B254="Done",IF(OR(J254="",K254="",L254=""),"Add run evidence","Recorded"),IF(OR(B254="Blocked",B254="N/A"),IF(M254="","Add reason","Reason recorded"),""))</x:f>
      </x:c>
      <x:c r="Q254" s="4" t="str">
        <x:v>2f827008d725333643a78e6c31935ab24cb4e6b7</x:v>
      </x:c>
    </x:row>
    <x:row r="255" ht="86" customHeight="1">
      <x:c r="A255" s="15" t="str">
        <x:v>RA-009</x:v>
      </x:c>
      <x:c r="B255" s="19" t="str">
        <x:v>Pending</x:v>
      </x:c>
      <x:c r="C255" s="21" t="str">
        <x:v>P0</x:v>
      </x:c>
      <x:c r="D255" s="15" t="str">
        <x:v>RevisionAtlas</x:v>
      </x:c>
      <x:c r="E255" s="15" t="str">
        <x:v>Round-robin arbiter</x:v>
      </x:c>
      <x:c r="F255" s="15" t="str">
        <x:v>Mutual exclusion and sustained fairness</x:v>
      </x:c>
      <x:c r="G255" s="15" t="str">
        <x:v>clk, rst, req1, req2, gnt1, gnt2</x:v>
      </x:c>
      <x:c r="H255" s="15" t="str">
        <x:v>Test neither, either and both requests. Hold both requests for at least ten cycles, then release each independently.</x:v>
      </x:c>
      <x:c r="I255" s="15" t="str">
        <x:v>Never grant both together. Both sustained requests alternate grants after the initial priority to req1; a sole sustained requester keeps its grant.</x:v>
      </x:c>
      <x:c r="J255" s="17"/>
      <x:c r="K255" s="24"/>
      <x:c r="L255" s="17"/>
      <x:c r="M255" s="17"/>
      <x:c r="N255" s="15" t="str">
        <x:v>Protocols/04 AMBA/03 AXI/Code/Section 03 - AXI-Stream IPs/Lessons 030-033 - Round Robin Arbiter/rtl/robin.sv</x:v>
      </x:c>
      <x:c r="O255" s="26" t="str">
        <x:v>https://github.com/kapiltrip/RevisionAtlas/blob/2f827008d725333643a78e6c31935ab24cb4e6b7/Protocols/04%20AMBA/03%20AXI/Code/Section%2003%20-%20AXI-Stream%20IPs/Lessons%20030-033%20-%20Round%20Robin%20Arbiter/rtl/robin.sv</x:v>
      </x:c>
      <x:c r="P255" s="15" t="str">
        <x:f>IF(B255="Done",IF(OR(J255="",K255="",L255=""),"Add run evidence","Recorded"),IF(OR(B255="Blocked",B255="N/A"),IF(M255="","Add reason","Reason recorded"),""))</x:f>
      </x:c>
      <x:c r="Q255" s="15" t="str">
        <x:v>2f827008d725333643a78e6c31935ab24cb4e6b7</x:v>
      </x:c>
    </x:row>
    <x:row r="256" ht="86" customHeight="1">
      <x:c r="A256" s="4" t="str">
        <x:v>RA-010</x:v>
      </x:c>
      <x:c r="B256" s="19" t="str">
        <x:v>Pending</x:v>
      </x:c>
      <x:c r="C256" s="20" t="str">
        <x:v>P0</x:v>
      </x:c>
      <x:c r="D256" s="4" t="str">
        <x:v>RevisionAtlas</x:v>
      </x:c>
      <x:c r="E256" s="4" t="str">
        <x:v>AXI Stream FIFO</x:v>
      </x:c>
      <x:c r="F256" s="4" t="str">
        <x:v>Fill limit and pointer wrap</x:v>
      </x:c>
      <x:c r="G256" s="4" t="str">
        <x:v>aclk, aresetn, s_axis_tvalid, s_axis_tdata, s_axis_tkeep, s_axis_tlast, m_axis_tvalid, m_axis_tready, m_axis_tdata</x:v>
      </x:c>
      <x:c r="H256" s="4" t="str">
        <x:v>Send/drain tagged data repeatedly beyond 32 total accepted writes; include the 15th and 16th queued items.</x:v>
      </x:c>
      <x:c r="I256" s="4" t="str">
        <x:v>Track data, keep and last together. The current full threshold is 15, pointers are 5 bits for a 16-entry memory, and no input ready is exported. Detect out-of-range indexing and document actual input acceptance.</x:v>
      </x:c>
      <x:c r="J256" s="17"/>
      <x:c r="K256" s="24"/>
      <x:c r="L256" s="17"/>
      <x:c r="M256" s="17" t="str">
        <x:v>Known source risks; this is not a generic lossless AXI Stream FIFO.</x:v>
      </x:c>
      <x:c r="N256" s="4" t="str">
        <x:v>Protocols/04 AMBA/03 AXI/Code/Section 03 - AXI-Stream IPs/Lessons 039-042 - AXIS FIFO/rtl/axis_fifo.sv</x:v>
      </x:c>
      <x:c r="O256" s="25" t="str">
        <x:v>https://github.com/kapiltrip/RevisionAtlas/blob/2f827008d725333643a78e6c31935ab24cb4e6b7/Protocols/04%20AMBA/03%20AXI/Code/Section%2003%20-%20AXI-Stream%20IPs/Lessons%20039-042%20-%20AXIS%20FIFO/rtl/axis_fifo.sv</x:v>
      </x:c>
      <x:c r="P256" s="4" t="str">
        <x:f>IF(B256="Done",IF(OR(J256="",K256="",L256=""),"Add run evidence","Recorded"),IF(OR(B256="Blocked",B256="N/A"),IF(M256="","Add reason","Reason recorded"),""))</x:f>
      </x:c>
      <x:c r="Q256" s="4" t="str">
        <x:v>2f827008d725333643a78e6c31935ab24cb4e6b7</x:v>
      </x:c>
    </x:row>
    <x:row r="257" ht="86" customHeight="1">
      <x:c r="A257" s="15" t="str">
        <x:v>RA-011</x:v>
      </x:c>
      <x:c r="B257" s="19" t="str">
        <x:v>Pending</x:v>
      </x:c>
      <x:c r="C257" s="21" t="str">
        <x:v>P0</x:v>
      </x:c>
      <x:c r="D257" s="15" t="str">
        <x:v>RevisionAtlas</x:v>
      </x:c>
      <x:c r="E257" s="15" t="str">
        <x:v>AXI Stream FIFO</x:v>
      </x:c>
      <x:c r="F257" s="15" t="str">
        <x:v>Concurrent input/output and stalled output</x:v>
      </x:c>
      <x:c r="G257" s="15" t="str">
        <x:v>aclk, s_axis_tvalid, m_axis_tvalid, m_axis_tready, m_axis_tdata, m_axis_tkeep, m_axis_tlast</x:v>
      </x:c>
      <x:c r="H257" s="15" t="str">
        <x:v>Keep input valid and output ready together, then stall output in the middle of a packet. Use a reference queue updated only for true accepted operations.</x:v>
      </x:c>
      <x:c r="I257" s="15" t="str">
        <x:v>Pending output data and sidebands must stay stable. Current else-if control gives writes priority over reads, so check advertised output handshakes against actual pointer movement and duplicate/dropped beats.</x:v>
      </x:c>
      <x:c r="J257" s="17"/>
      <x:c r="K257" s="24"/>
      <x:c r="L257" s="17"/>
      <x:c r="M257" s="17"/>
      <x:c r="N257" s="15" t="str">
        <x:v>Protocols/04 AMBA/03 AXI/Code/Section 03 - AXI-Stream IPs/Lessons 039-042 - AXIS FIFO/rtl/axis_fifo.sv</x:v>
      </x:c>
      <x:c r="O257" s="26" t="str">
        <x:v>https://github.com/kapiltrip/RevisionAtlas/blob/2f827008d725333643a78e6c31935ab24cb4e6b7/Protocols/04%20AMBA/03%20AXI/Code/Section%2003%20-%20AXI-Stream%20IPs/Lessons%20039-042%20-%20AXIS%20FIFO/rtl/axis_fifo.sv</x:v>
      </x:c>
      <x:c r="P257" s="15" t="str">
        <x:f>IF(B257="Done",IF(OR(J257="",K257="",L257=""),"Add run evidence","Recorded"),IF(OR(B257="Blocked",B257="N/A"),IF(M257="","Add reason","Reason recorded"),""))</x:f>
      </x:c>
      <x:c r="Q257" s="15" t="str">
        <x:v>2f827008d725333643a78e6c31935ab24cb4e6b7</x:v>
      </x:c>
    </x:row>
    <x:row r="258" ht="86" customHeight="1">
      <x:c r="A258" s="4" t="str">
        <x:v>RA-012</x:v>
      </x:c>
      <x:c r="B258" s="19" t="str">
        <x:v>Pending</x:v>
      </x:c>
      <x:c r="C258" s="20" t="str">
        <x:v>P0</x:v>
      </x:c>
      <x:c r="D258" s="4" t="str">
        <x:v>RevisionAtlas</x:v>
      </x:c>
      <x:c r="E258" s="4" t="str">
        <x:v>AXI Stream FIFO</x:v>
      </x:c>
      <x:c r="F258" s="4" t="str">
        <x:v>Fill limit and pointer wrap</x:v>
      </x:c>
      <x:c r="G258" s="4" t="str">
        <x:v>aclk, aresetn, s_axis_tvalid, s_axis_tdata, s_axis_tkeep, s_axis_tlast, m_axis_tvalid, m_axis_tready, m_axis_tdata</x:v>
      </x:c>
      <x:c r="H258" s="4" t="str">
        <x:v>Send/drain tagged data repeatedly beyond 32 total accepted writes; include the 15th and 16th queued items.</x:v>
      </x:c>
      <x:c r="I258" s="4" t="str">
        <x:v>Track data, keep and last together. The current full threshold is 15, pointers are 5 bits for a 16-entry memory, and no input ready is exported. Detect out-of-range indexing and document actual input acceptance.</x:v>
      </x:c>
      <x:c r="J258" s="17"/>
      <x:c r="K258" s="24"/>
      <x:c r="L258" s="17"/>
      <x:c r="M258" s="17" t="str">
        <x:v>Known source risks; this is not a generic lossless AXI Stream FIFO.</x:v>
      </x:c>
      <x:c r="N258" s="4" t="str">
        <x:v>Protocols/04 AMBA/03 AXI/Code/Section 03 - AXI-Stream IPs/Lessons 043-044 - AXIS FIFO Alternate/rtl/axis_fifo.sv</x:v>
      </x:c>
      <x:c r="O258" s="25" t="str">
        <x:v>https://github.com/kapiltrip/RevisionAtlas/blob/2f827008d725333643a78e6c31935ab24cb4e6b7/Protocols/04%20AMBA/03%20AXI/Code/Section%2003%20-%20AXI-Stream%20IPs/Lessons%20043-044%20-%20AXIS%20FIFO%20Alternate/rtl/axis_fifo.sv</x:v>
      </x:c>
      <x:c r="P258" s="4" t="str">
        <x:f>IF(B258="Done",IF(OR(J258="",K258="",L258=""),"Add run evidence","Recorded"),IF(OR(B258="Blocked",B258="N/A"),IF(M258="","Add reason","Reason recorded"),""))</x:f>
      </x:c>
      <x:c r="Q258" s="4" t="str">
        <x:v>2f827008d725333643a78e6c31935ab24cb4e6b7</x:v>
      </x:c>
    </x:row>
    <x:row r="259" ht="86" customHeight="1">
      <x:c r="A259" s="15" t="str">
        <x:v>RA-013</x:v>
      </x:c>
      <x:c r="B259" s="19" t="str">
        <x:v>Pending</x:v>
      </x:c>
      <x:c r="C259" s="21" t="str">
        <x:v>P0</x:v>
      </x:c>
      <x:c r="D259" s="15" t="str">
        <x:v>RevisionAtlas</x:v>
      </x:c>
      <x:c r="E259" s="15" t="str">
        <x:v>AXI Stream FIFO</x:v>
      </x:c>
      <x:c r="F259" s="15" t="str">
        <x:v>Concurrent input/output and stalled output</x:v>
      </x:c>
      <x:c r="G259" s="15" t="str">
        <x:v>aclk, s_axis_tvalid, m_axis_tvalid, m_axis_tready, m_axis_tdata, m_axis_tkeep, m_axis_tlast</x:v>
      </x:c>
      <x:c r="H259" s="15" t="str">
        <x:v>Keep input valid and output ready together, then stall output in the middle of a packet. Use a reference queue updated only for true accepted operations.</x:v>
      </x:c>
      <x:c r="I259" s="15" t="str">
        <x:v>Pending output data and sidebands must stay stable. Current else-if control gives writes priority over reads, so check advertised output handshakes against actual pointer movement and duplicate/dropped beats.</x:v>
      </x:c>
      <x:c r="J259" s="17"/>
      <x:c r="K259" s="24"/>
      <x:c r="L259" s="17"/>
      <x:c r="M259" s="17"/>
      <x:c r="N259" s="15" t="str">
        <x:v>Protocols/04 AMBA/03 AXI/Code/Section 03 - AXI-Stream IPs/Lessons 043-044 - AXIS FIFO Alternate/rtl/axis_fifo.sv</x:v>
      </x:c>
      <x:c r="O259" s="26" t="str">
        <x:v>https://github.com/kapiltrip/RevisionAtlas/blob/2f827008d725333643a78e6c31935ab24cb4e6b7/Protocols/04%20AMBA/03%20AXI/Code/Section%2003%20-%20AXI-Stream%20IPs/Lessons%20043-044%20-%20AXIS%20FIFO%20Alternate/rtl/axis_fifo.sv</x:v>
      </x:c>
      <x:c r="P259" s="15" t="str">
        <x:f>IF(B259="Done",IF(OR(J259="",K259="",L259=""),"Add run evidence","Recorded"),IF(OR(B259="Blocked",B259="N/A"),IF(M259="","Add reason","Reason recorded"),""))</x:f>
      </x:c>
      <x:c r="Q259" s="15" t="str">
        <x:v>2f827008d725333643a78e6c31935ab24cb4e6b7</x:v>
      </x:c>
    </x:row>
    <x:row r="260" ht="86" customHeight="1">
      <x:c r="A260" s="4" t="str">
        <x:v>RA-014</x:v>
      </x:c>
      <x:c r="B260" s="19" t="str">
        <x:v>Pending</x:v>
      </x:c>
      <x:c r="C260" s="20" t="str">
        <x:v>P0</x:v>
      </x:c>
      <x:c r="D260" s="4" t="str">
        <x:v>RevisionAtlas</x:v>
      </x:c>
      <x:c r="E260" s="4" t="str">
        <x:v>AXI memory-mapped</x:v>
      </x:c>
      <x:c r="F260" s="4" t="str">
        <x:v>Independent write channels and byte lanes</x:v>
      </x:c>
      <x:c r="G260" s="4" t="str">
        <x:v>i_clk, i_resetn, m_axi_awready, m_axi_wready, m_axi_bvalid, m_axi_bresp, m_axi_awvalid, m_axi_awaddr, m_axi_wvalid, m_axi_wdata, m_axi_wstrb, m_axi_bready</x:v>
      </x:c>
      <x:c r="H260" s="4" t="str">
        <x:v>Try address before data, data before address and simultaneous arrival. Stall address, data and response independently. Exercise each byte strobe and all-zero strobes.</x:v>
      </x:c>
      <x:c r="I260" s="4" t="str">
        <x:v>A transaction completes once, after both address and all required data transfers. Hold each valid/payload until its handshake. Only selected byte lanes change; response remains pending until accepted. Compare source memory mapping before choosing legal addresses.</x:v>
      </x:c>
      <x:c r="J260" s="17"/>
      <x:c r="K260" s="24"/>
      <x:c r="L260" s="17"/>
      <x:c r="M260" s="17"/>
      <x:c r="N260" s="4" t="str">
        <x:v>Protocols/04 AMBA/03 AXI/Code/Section 05 - AXI-Lite Single Beat without Pipeline/Lessons 060-067 - AXIL Write Only Master and Slave/rtl/m_axi.sv</x:v>
      </x:c>
      <x:c r="O260" s="25" t="str">
        <x:v>https://github.com/kapiltrip/RevisionAtlas/blob/2f827008d725333643a78e6c31935ab24cb4e6b7/Protocols/04%20AMBA/03%20AXI/Code/Section%2005%20-%20AXI-Lite%20Single%20Beat%20without%20Pipeline/Lessons%20060-067%20-%20AXIL%20Write%20Only%20Master%20and%20Slave/rtl/m_axi.sv</x:v>
      </x:c>
      <x:c r="P260" s="4" t="str">
        <x:f>IF(B260="Done",IF(OR(J260="",K260="",L260=""),"Add run evidence","Recorded"),IF(OR(B260="Blocked",B260="N/A"),IF(M260="","Add reason","Reason recorded"),""))</x:f>
      </x:c>
      <x:c r="Q260" s="4" t="str">
        <x:v>2f827008d725333643a78e6c31935ab24cb4e6b7</x:v>
      </x:c>
    </x:row>
    <x:row r="261" ht="86" customHeight="1">
      <x:c r="A261" s="15" t="str">
        <x:v>RA-015</x:v>
      </x:c>
      <x:c r="B261" s="19" t="str">
        <x:v>Pending</x:v>
      </x:c>
      <x:c r="C261" s="21" t="str">
        <x:v>P0</x:v>
      </x:c>
      <x:c r="D261" s="15" t="str">
        <x:v>RevisionAtlas</x:v>
      </x:c>
      <x:c r="E261" s="15" t="str">
        <x:v>AXI memory-mapped</x:v>
      </x:c>
      <x:c r="F261" s="15" t="str">
        <x:v>Independent write channels and byte lanes</x:v>
      </x:c>
      <x:c r="G261" s="15" t="str">
        <x:v>i_clk, i_resetn, s_axi_awvalid, s_axi_awaddr, s_axi_wvalid, s_axi_wdata, s_axi_wstrb, s_axi_bready, s_axi_awready, s_axi_wready, s_axi_bvalid, s_axi_bresp</x:v>
      </x:c>
      <x:c r="H261" s="15" t="str">
        <x:v>Try address before data, data before address and simultaneous arrival. Stall address, data and response independently. Exercise each byte strobe and all-zero strobes.</x:v>
      </x:c>
      <x:c r="I261" s="15" t="str">
        <x:v>A transaction completes once, after both address and all required data transfers. Hold each valid/payload until its handshake. Only selected byte lanes change; response remains pending until accepted. Compare source memory mapping before choosing legal addresses.</x:v>
      </x:c>
      <x:c r="J261" s="17"/>
      <x:c r="K261" s="24"/>
      <x:c r="L261" s="17"/>
      <x:c r="M261" s="17"/>
      <x:c r="N261" s="15" t="str">
        <x:v>Protocols/04 AMBA/03 AXI/Code/Section 05 - AXI-Lite Single Beat without Pipeline/Lessons 060-067 - AXIL Write Only Master and Slave/rtl/s_axi.sv</x:v>
      </x:c>
      <x:c r="O261" s="26" t="str">
        <x:v>https://github.com/kapiltrip/RevisionAtlas/blob/2f827008d725333643a78e6c31935ab24cb4e6b7/Protocols/04%20AMBA/03%20AXI/Code/Section%2005%20-%20AXI-Lite%20Single%20Beat%20without%20Pipeline/Lessons%20060-067%20-%20AXIL%20Write%20Only%20Master%20and%20Slave/rtl/s_axi.sv</x:v>
      </x:c>
      <x:c r="P261" s="15" t="str">
        <x:f>IF(B261="Done",IF(OR(J261="",K261="",L261=""),"Add run evidence","Recorded"),IF(OR(B261="Blocked",B261="N/A"),IF(M261="","Add reason","Reason recorded"),""))</x:f>
      </x:c>
      <x:c r="Q261" s="15" t="str">
        <x:v>2f827008d725333643a78e6c31935ab24cb4e6b7</x:v>
      </x:c>
    </x:row>
    <x:row r="262" ht="86" customHeight="1">
      <x:c r="A262" s="4" t="str">
        <x:v>RA-016</x:v>
      </x:c>
      <x:c r="B262" s="19" t="str">
        <x:v>Pending</x:v>
      </x:c>
      <x:c r="C262" s="20" t="str">
        <x:v>P0</x:v>
      </x:c>
      <x:c r="D262" s="4" t="str">
        <x:v>RevisionAtlas</x:v>
      </x:c>
      <x:c r="E262" s="4" t="str">
        <x:v>AXI memory-mapped</x:v>
      </x:c>
      <x:c r="F262" s="4" t="str">
        <x:v>Independent write channels and byte lanes</x:v>
      </x:c>
      <x:c r="G262" s="4" t="str">
        <x:v>m_axi_aclk, m_axi_aresetn, m_axi_awready, m_axi_wready, m_axi_bvalid, m_axi_bresp, m_axi_awvalid, m_axi_awaddr, m_axi_wvalid, m_axi_wdata, m_axi_wstrb, m_axi_bready</x:v>
      </x:c>
      <x:c r="H262" s="4" t="str">
        <x:v>Try address before data, data before address and simultaneous arrival. Stall address, data and response independently. Exercise each byte strobe and all-zero strobes.</x:v>
      </x:c>
      <x:c r="I262" s="4" t="str">
        <x:v>A transaction completes once, after both address and all required data transfers. Hold each valid/payload until its handshake. Only selected byte lanes change; response remains pending until accepted. Compare source memory mapping before choosing legal addresses.</x:v>
      </x:c>
      <x:c r="J262" s="17"/>
      <x:c r="K262" s="24"/>
      <x:c r="L262" s="17"/>
      <x:c r="M262" s="17"/>
      <x:c r="N262" s="4" t="str">
        <x:v>Protocols/04 AMBA/03 AXI/Code/Section 05 - AXI-Lite Single Beat without Pipeline/Lessons 068-072 - AXI Protocol Checker/rtl/p_m_axi.sv</x:v>
      </x:c>
      <x:c r="O262" s="25" t="str">
        <x:v>https://github.com/kapiltrip/RevisionAtlas/blob/2f827008d725333643a78e6c31935ab24cb4e6b7/Protocols/04%20AMBA/03%20AXI/Code/Section%2005%20-%20AXI-Lite%20Single%20Beat%20without%20Pipeline/Lessons%20068-072%20-%20AXI%20Protocol%20Checker/rtl/p_m_axi.sv</x:v>
      </x:c>
      <x:c r="P262" s="4" t="str">
        <x:f>IF(B262="Done",IF(OR(J262="",K262="",L262=""),"Add run evidence","Recorded"),IF(OR(B262="Blocked",B262="N/A"),IF(M262="","Add reason","Reason recorded"),""))</x:f>
      </x:c>
      <x:c r="Q262" s="4" t="str">
        <x:v>2f827008d725333643a78e6c31935ab24cb4e6b7</x:v>
      </x:c>
    </x:row>
    <x:row r="263" ht="86" customHeight="1">
      <x:c r="A263" s="15" t="str">
        <x:v>RA-017</x:v>
      </x:c>
      <x:c r="B263" s="19" t="str">
        <x:v>Pending</x:v>
      </x:c>
      <x:c r="C263" s="21" t="str">
        <x:v>P0</x:v>
      </x:c>
      <x:c r="D263" s="15" t="str">
        <x:v>RevisionAtlas</x:v>
      </x:c>
      <x:c r="E263" s="15" t="str">
        <x:v>AXI memory-mapped</x:v>
      </x:c>
      <x:c r="F263" s="15" t="str">
        <x:v>Independent write channels and byte lanes</x:v>
      </x:c>
      <x:c r="G263" s="15" t="str">
        <x:v>s_axi_aclk, s_axi_aresetn, s_axi_awvalid, s_axi_awaddr, s_axi_wvalid, s_axi_wdata, s_axi_wstrb, s_axi_bready, s_axi_awready, s_axi_wready, s_axi_bvalid, s_axi_bresp</x:v>
      </x:c>
      <x:c r="H263" s="15" t="str">
        <x:v>Try address before data, data before address and simultaneous arrival. Stall address, data and response independently. Exercise each byte strobe and all-zero strobes.</x:v>
      </x:c>
      <x:c r="I263" s="15" t="str">
        <x:v>A transaction completes once, after both address and all required data transfers. Hold each valid/payload until its handshake. Only selected byte lanes change; response remains pending until accepted. Compare source memory mapping before choosing legal addresses.</x:v>
      </x:c>
      <x:c r="J263" s="17"/>
      <x:c r="K263" s="24"/>
      <x:c r="L263" s="17"/>
      <x:c r="M263" s="17"/>
      <x:c r="N263" s="15" t="str">
        <x:v>Protocols/04 AMBA/03 AXI/Code/Section 05 - AXI-Lite Single Beat without Pipeline/Lessons 068-072 - AXI Protocol Checker/rtl/p_s_axi.sv</x:v>
      </x:c>
      <x:c r="O263" s="26" t="str">
        <x:v>https://github.com/kapiltrip/RevisionAtlas/blob/2f827008d725333643a78e6c31935ab24cb4e6b7/Protocols/04%20AMBA/03%20AXI/Code/Section%2005%20-%20AXI-Lite%20Single%20Beat%20without%20Pipeline/Lessons%20068-072%20-%20AXI%20Protocol%20Checker/rtl/p_s_axi.sv</x:v>
      </x:c>
      <x:c r="P263" s="15" t="str">
        <x:f>IF(B263="Done",IF(OR(J263="",K263="",L263=""),"Add run evidence","Recorded"),IF(OR(B263="Blocked",B263="N/A"),IF(M263="","Add reason","Reason recorded"),""))</x:f>
      </x:c>
      <x:c r="Q263" s="15" t="str">
        <x:v>2f827008d725333643a78e6c31935ab24cb4e6b7</x:v>
      </x:c>
    </x:row>
    <x:row r="264" ht="86" customHeight="1">
      <x:c r="A264" s="4" t="str">
        <x:v>RA-018</x:v>
      </x:c>
      <x:c r="B264" s="19" t="str">
        <x:v>Pending</x:v>
      </x:c>
      <x:c r="C264" s="20" t="str">
        <x:v>P0</x:v>
      </x:c>
      <x:c r="D264" s="4" t="str">
        <x:v>RevisionAtlas</x:v>
      </x:c>
      <x:c r="E264" s="4" t="str">
        <x:v>AXI memory-mapped</x:v>
      </x:c>
      <x:c r="F264" s="4" t="str">
        <x:v>Read address/data stalls and response propagation</x:v>
      </x:c>
      <x:c r="G264" s="4" t="str">
        <x:v>m_axi_aclk, m_axi_aresetn, m_axi_arready, m_axi_rvalid, m_axi_rdata, m_axi_rresp, m_axi_arvalid, m_axi_araddr, m_axi_rready, o_rdata</x:v>
      </x:c>
      <x:c r="H264" s="4" t="str">
        <x:v>Read distinct mapped words; insert address stalls and response backpressure. Inject success and error responses when testing a master.</x:v>
      </x:c>
      <x:c r="I264" s="4" t="str">
        <x:v>Each accepted read returns exactly one response for AXI-Lite, or the requested beats for burst AXI. Pending read data/response/last remain stable until accepted; errors must reach the application result.</x:v>
      </x:c>
      <x:c r="J264" s="17"/>
      <x:c r="K264" s="24"/>
      <x:c r="L264" s="17"/>
      <x:c r="M264" s="17"/>
      <x:c r="N264" s="4" t="str">
        <x:v>Protocols/04 AMBA/03 AXI/Code/Section 05 - AXI-Lite Single Beat without Pipeline/Lessons 073-081 - AXIL Read Only Master and Slave/rtl/p_m_axi.sv</x:v>
      </x:c>
      <x:c r="O264" s="25" t="str">
        <x:v>https://github.com/kapiltrip/RevisionAtlas/blob/2f827008d725333643a78e6c31935ab24cb4e6b7/Protocols/04%20AMBA/03%20AXI/Code/Section%2005%20-%20AXI-Lite%20Single%20Beat%20without%20Pipeline/Lessons%20073-081%20-%20AXIL%20Read%20Only%20Master%20and%20Slave/rtl/p_m_axi.sv</x:v>
      </x:c>
      <x:c r="P264" s="4" t="str">
        <x:f>IF(B264="Done",IF(OR(J264="",K264="",L264=""),"Add run evidence","Recorded"),IF(OR(B264="Blocked",B264="N/A"),IF(M264="","Add reason","Reason recorded"),""))</x:f>
      </x:c>
      <x:c r="Q264" s="4" t="str">
        <x:v>2f827008d725333643a78e6c31935ab24cb4e6b7</x:v>
      </x:c>
    </x:row>
    <x:row r="265" ht="86" customHeight="1">
      <x:c r="A265" s="15" t="str">
        <x:v>RA-019</x:v>
      </x:c>
      <x:c r="B265" s="19" t="str">
        <x:v>Pending</x:v>
      </x:c>
      <x:c r="C265" s="21" t="str">
        <x:v>P0</x:v>
      </x:c>
      <x:c r="D265" s="15" t="str">
        <x:v>RevisionAtlas</x:v>
      </x:c>
      <x:c r="E265" s="15" t="str">
        <x:v>AXI memory-mapped</x:v>
      </x:c>
      <x:c r="F265" s="15" t="str">
        <x:v>Read address/data stalls and response propagation</x:v>
      </x:c>
      <x:c r="G265" s="15" t="str">
        <x:v>s_axi_aclk, s_axi_aresetn, s_axi_arvalid, s_axi_araddr, s_axi_rready, s_axi_arready, s_axi_rvalid, s_axi_rdata, s_axi_rresp</x:v>
      </x:c>
      <x:c r="H265" s="15" t="str">
        <x:v>Read distinct mapped words; insert address stalls and response backpressure. Inject success and error responses when testing a master.</x:v>
      </x:c>
      <x:c r="I265" s="15" t="str">
        <x:v>Each accepted read returns exactly one response for AXI-Lite, or the requested beats for burst AXI. Pending read data/response/last remain stable until accepted; errors must reach the application result.</x:v>
      </x:c>
      <x:c r="J265" s="17"/>
      <x:c r="K265" s="24"/>
      <x:c r="L265" s="17"/>
      <x:c r="M265" s="17"/>
      <x:c r="N265" s="15" t="str">
        <x:v>Protocols/04 AMBA/03 AXI/Code/Section 05 - AXI-Lite Single Beat without Pipeline/Lessons 073-081 - AXIL Read Only Master and Slave/rtl/p_s_axi.sv</x:v>
      </x:c>
      <x:c r="O265" s="26" t="str">
        <x:v>https://github.com/kapiltrip/RevisionAtlas/blob/2f827008d725333643a78e6c31935ab24cb4e6b7/Protocols/04%20AMBA/03%20AXI/Code/Section%2005%20-%20AXI-Lite%20Single%20Beat%20without%20Pipeline/Lessons%20073-081%20-%20AXIL%20Read%20Only%20Master%20and%20Slave/rtl/p_s_axi.sv</x:v>
      </x:c>
      <x:c r="P265" s="15" t="str">
        <x:f>IF(B265="Done",IF(OR(J265="",K265="",L265=""),"Add run evidence","Recorded"),IF(OR(B265="Blocked",B265="N/A"),IF(M265="","Add reason","Reason recorded"),""))</x:f>
      </x:c>
      <x:c r="Q265" s="15" t="str">
        <x:v>2f827008d725333643a78e6c31935ab24cb4e6b7</x:v>
      </x:c>
    </x:row>
    <x:row r="266" ht="86" customHeight="1">
      <x:c r="A266" s="4" t="str">
        <x:v>RA-020</x:v>
      </x:c>
      <x:c r="B266" s="19" t="str">
        <x:v>Pending</x:v>
      </x:c>
      <x:c r="C266" s="20" t="str">
        <x:v>P0</x:v>
      </x:c>
      <x:c r="D266" s="4" t="str">
        <x:v>RevisionAtlas</x:v>
      </x:c>
      <x:c r="E266" s="4" t="str">
        <x:v>AXI memory-mapped</x:v>
      </x:c>
      <x:c r="F266" s="4" t="str">
        <x:v>Independent write channels and byte lanes</x:v>
      </x:c>
      <x:c r="G266" s="4" t="str">
        <x:v>m_axi_aclk, m_axi_aresetn, m_axi_awready, m_axi_wready, m_axi_bvalid, m_axi_bresp, m_axi_awvalid, m_axi_awaddr, m_axi_wvalid, m_axi_wdata, m_axi_wstrb, m_axi_bready</x:v>
      </x:c>
      <x:c r="H266" s="4" t="str">
        <x:v>Try address before data, data before address and simultaneous arrival. Stall address, data and response independently. Exercise each byte strobe and all-zero strobes.</x:v>
      </x:c>
      <x:c r="I266" s="4" t="str">
        <x:v>A transaction completes once, after both address and all required data transfers. Hold each valid/payload until its handshake. Only selected byte lanes change; response remains pending until accepted. Compare source memory mapping before choosing legal addresses.</x:v>
      </x:c>
      <x:c r="J266" s="17"/>
      <x:c r="K266" s="24"/>
      <x:c r="L266" s="17"/>
      <x:c r="M266" s="17"/>
      <x:c r="N266" s="4" t="str">
        <x:v>Protocols/04 AMBA/03 AXI/Code/Section 06 - AXI-Lite Combined Read and Write/Lessons 086-093 - AXIL Read Write Master/rtl/axilite_m.sv</x:v>
      </x:c>
      <x:c r="O266" s="25" t="str">
        <x:v>https://github.com/kapiltrip/RevisionAtlas/blob/2f827008d725333643a78e6c31935ab24cb4e6b7/Protocols/04%20AMBA/03%20AXI/Code/Section%2006%20-%20AXI-Lite%20Combined%20Read%20and%20Write/Lessons%20086-093%20-%20AXIL%20Read%20Write%20Master/rtl/axilite_m.sv</x:v>
      </x:c>
      <x:c r="P266" s="4" t="str">
        <x:f>IF(B266="Done",IF(OR(J266="",K266="",L266=""),"Add run evidence","Recorded"),IF(OR(B266="Blocked",B266="N/A"),IF(M266="","Add reason","Reason recorded"),""))</x:f>
      </x:c>
      <x:c r="Q266" s="4" t="str">
        <x:v>2f827008d725333643a78e6c31935ab24cb4e6b7</x:v>
      </x:c>
    </x:row>
    <x:row r="267" ht="86" customHeight="1">
      <x:c r="A267" s="15" t="str">
        <x:v>RA-021</x:v>
      </x:c>
      <x:c r="B267" s="19" t="str">
        <x:v>Pending</x:v>
      </x:c>
      <x:c r="C267" s="21" t="str">
        <x:v>P0</x:v>
      </x:c>
      <x:c r="D267" s="15" t="str">
        <x:v>RevisionAtlas</x:v>
      </x:c>
      <x:c r="E267" s="15" t="str">
        <x:v>AXI memory-mapped</x:v>
      </x:c>
      <x:c r="F267" s="15" t="str">
        <x:v>Read address/data stalls and response propagation</x:v>
      </x:c>
      <x:c r="G267" s="15" t="str">
        <x:v>m_axi_aclk, m_axi_aresetn, m_axi_arready, m_axi_rvalid, m_axi_rdata, m_axi_rresp, m_axi_arvalid, m_axi_araddr, m_axi_rready</x:v>
      </x:c>
      <x:c r="H267" s="15" t="str">
        <x:v>Read distinct mapped words; insert address stalls and response backpressure. Inject success and error responses when testing a master.</x:v>
      </x:c>
      <x:c r="I267" s="15" t="str">
        <x:v>Each accepted read returns exactly one response for AXI-Lite, or the requested beats for burst AXI. Pending read data/response/last remain stable until accepted; errors must reach the application result.</x:v>
      </x:c>
      <x:c r="J267" s="17"/>
      <x:c r="K267" s="24"/>
      <x:c r="L267" s="17"/>
      <x:c r="M267" s="17"/>
      <x:c r="N267" s="15" t="str">
        <x:v>Protocols/04 AMBA/03 AXI/Code/Section 06 - AXI-Lite Combined Read and Write/Lessons 086-093 - AXIL Read Write Master/rtl/axilite_m.sv</x:v>
      </x:c>
      <x:c r="O267" s="26" t="str">
        <x:v>https://github.com/kapiltrip/RevisionAtlas/blob/2f827008d725333643a78e6c31935ab24cb4e6b7/Protocols/04%20AMBA/03%20AXI/Code/Section%2006%20-%20AXI-Lite%20Combined%20Read%20and%20Write/Lessons%20086-093%20-%20AXIL%20Read%20Write%20Master/rtl/axilite_m.sv</x:v>
      </x:c>
      <x:c r="P267" s="15" t="str">
        <x:f>IF(B267="Done",IF(OR(J267="",K267="",L267=""),"Add run evidence","Recorded"),IF(OR(B267="Blocked",B267="N/A"),IF(M267="","Add reason","Reason recorded"),""))</x:f>
      </x:c>
      <x:c r="Q267" s="15" t="str">
        <x:v>2f827008d725333643a78e6c31935ab24cb4e6b7</x:v>
      </x:c>
    </x:row>
    <x:row r="268" ht="86" customHeight="1">
      <x:c r="A268" s="4" t="str">
        <x:v>RA-022</x:v>
      </x:c>
      <x:c r="B268" s="19" t="str">
        <x:v>Pending</x:v>
      </x:c>
      <x:c r="C268" s="20" t="str">
        <x:v>P0</x:v>
      </x:c>
      <x:c r="D268" s="4" t="str">
        <x:v>RevisionAtlas</x:v>
      </x:c>
      <x:c r="E268" s="4" t="str">
        <x:v>AXI memory-mapped</x:v>
      </x:c>
      <x:c r="F268" s="4" t="str">
        <x:v>Independent write channels and byte lanes</x:v>
      </x:c>
      <x:c r="G268" s="4" t="str">
        <x:v>s_axi_aclk, s_axi_aresetn, s_axi_awvalid, s_axi_awaddr, s_axi_wvalid, s_axi_wdata, s_axi_wstrb, s_axi_bready, s_axi_awready, s_axi_wready, s_axi_bvalid, s_axi_bresp</x:v>
      </x:c>
      <x:c r="H268" s="4" t="str">
        <x:v>Try address before data, data before address and simultaneous arrival. Stall address, data and response independently. Exercise each byte strobe and all-zero strobes.</x:v>
      </x:c>
      <x:c r="I268" s="4" t="str">
        <x:v>A transaction completes once, after both address and all required data transfers. Hold each valid/payload until its handshake. Only selected byte lanes change; response remains pending until accepted. Compare source memory mapping before choosing legal addresses.</x:v>
      </x:c>
      <x:c r="J268" s="17"/>
      <x:c r="K268" s="24"/>
      <x:c r="L268" s="17"/>
      <x:c r="M268" s="17"/>
      <x:c r="N268" s="4" t="str">
        <x:v>Protocols/04 AMBA/03 AXI/Code/Section 07 - AXI-Lite GPIO/Lessons 095-100 - AXIL GPIO/rtl/axilite_s.sv</x:v>
      </x:c>
      <x:c r="O268" s="25" t="str">
        <x:v>https://github.com/kapiltrip/RevisionAtlas/blob/2f827008d725333643a78e6c31935ab24cb4e6b7/Protocols/04%20AMBA/03%20AXI/Code/Section%2007%20-%20AXI-Lite%20GPIO/Lessons%20095-100%20-%20AXIL%20GPIO/rtl/axilite_s.sv</x:v>
      </x:c>
      <x:c r="P268" s="4" t="str">
        <x:f>IF(B268="Done",IF(OR(J268="",K268="",L268=""),"Add run evidence","Recorded"),IF(OR(B268="Blocked",B268="N/A"),IF(M268="","Add reason","Reason recorded"),""))</x:f>
      </x:c>
      <x:c r="Q268" s="4" t="str">
        <x:v>2f827008d725333643a78e6c31935ab24cb4e6b7</x:v>
      </x:c>
    </x:row>
    <x:row r="269" ht="86" customHeight="1">
      <x:c r="A269" s="15" t="str">
        <x:v>RA-023</x:v>
      </x:c>
      <x:c r="B269" s="19" t="str">
        <x:v>Pending</x:v>
      </x:c>
      <x:c r="C269" s="21" t="str">
        <x:v>P0</x:v>
      </x:c>
      <x:c r="D269" s="15" t="str">
        <x:v>RevisionAtlas</x:v>
      </x:c>
      <x:c r="E269" s="15" t="str">
        <x:v>AXI memory-mapped</x:v>
      </x:c>
      <x:c r="F269" s="15" t="str">
        <x:v>Read address/data stalls and response propagation</x:v>
      </x:c>
      <x:c r="G269" s="15" t="str">
        <x:v>s_axi_aclk, s_axi_aresetn, s_axi_arvalid, s_axi_araddr, s_axi_rready, s_axi_arready, s_axi_rvalid, s_axi_rdata, s_axi_rresp</x:v>
      </x:c>
      <x:c r="H269" s="15" t="str">
        <x:v>Read distinct mapped words; insert address stalls and response backpressure. Inject success and error responses when testing a master.</x:v>
      </x:c>
      <x:c r="I269" s="15" t="str">
        <x:v>Each accepted read returns exactly one response for AXI-Lite, or the requested beats for burst AXI. Pending read data/response/last remain stable until accepted; errors must reach the application result.</x:v>
      </x:c>
      <x:c r="J269" s="17"/>
      <x:c r="K269" s="24"/>
      <x:c r="L269" s="17"/>
      <x:c r="M269" s="17"/>
      <x:c r="N269" s="15" t="str">
        <x:v>Protocols/04 AMBA/03 AXI/Code/Section 07 - AXI-Lite GPIO/Lessons 095-100 - AXIL GPIO/rtl/axilite_s.sv</x:v>
      </x:c>
      <x:c r="O269" s="26" t="str">
        <x:v>https://github.com/kapiltrip/RevisionAtlas/blob/2f827008d725333643a78e6c31935ab24cb4e6b7/Protocols/04%20AMBA/03%20AXI/Code/Section%2007%20-%20AXI-Lite%20GPIO/Lessons%20095-100%20-%20AXIL%20GPIO/rtl/axilite_s.sv</x:v>
      </x:c>
      <x:c r="P269" s="15" t="str">
        <x:f>IF(B269="Done",IF(OR(J269="",K269="",L269=""),"Add run evidence","Recorded"),IF(OR(B269="Blocked",B269="N/A"),IF(M269="","Add reason","Reason recorded"),""))</x:f>
      </x:c>
      <x:c r="Q269" s="15" t="str">
        <x:v>2f827008d725333643a78e6c31935ab24cb4e6b7</x:v>
      </x:c>
    </x:row>
    <x:row r="270" ht="86" customHeight="1">
      <x:c r="A270" s="4" t="str">
        <x:v>RA-024</x:v>
      </x:c>
      <x:c r="B270" s="19" t="str">
        <x:v>Pending</x:v>
      </x:c>
      <x:c r="C270" s="20" t="str">
        <x:v>P0</x:v>
      </x:c>
      <x:c r="D270" s="4" t="str">
        <x:v>RevisionAtlas</x:v>
      </x:c>
      <x:c r="E270" s="4" t="str">
        <x:v>AXI memory-mapped</x:v>
      </x:c>
      <x:c r="F270" s="4" t="str">
        <x:v>Independent write channels and byte lanes</x:v>
      </x:c>
      <x:c r="G270" s="4" t="str">
        <x:v>s_axi_aclk, s_axi_aresetn, s_axi_awvalid, s_axi_awaddr, s_axi_awlen, s_axi_wvalid, s_axi_wdata, s_axi_wstrb, s_axi_wlast, s_axi_bready, s_axi_awready, s_axi_wready, s_axi_bvalid, s_axi_bresp</x:v>
      </x:c>
      <x:c r="H270" s="4" t="str">
        <x:v>Try address before data, data before address and simultaneous arrival. Stall address, data and response independently. Exercise each byte strobe and all-zero strobes.</x:v>
      </x:c>
      <x:c r="I270" s="4" t="str">
        <x:v>A transaction completes once, after both address and all required data transfers. Hold each valid/payload until its handshake. Only selected byte lanes change; response remains pending until accepted. Compare source memory mapping before choosing legal addresses.</x:v>
      </x:c>
      <x:c r="J270" s="17"/>
      <x:c r="K270" s="24"/>
      <x:c r="L270" s="17"/>
      <x:c r="M270" s="17"/>
      <x:c r="N270" s="4" t="str">
        <x:v>Protocols/04 AMBA/03 AXI/Code/Section 08 - AXI4 Single Beat/Lessons 103-112 - AXI4 Single Beat Master and Slave/rtl/axi4_slave.sv</x:v>
      </x:c>
      <x:c r="O270" s="25" t="str">
        <x:v>https://github.com/kapiltrip/RevisionAtlas/blob/2f827008d725333643a78e6c31935ab24cb4e6b7/Protocols/04%20AMBA/03%20AXI/Code/Section%2008%20-%20AXI4%20Single%20Beat/Lessons%20103-112%20-%20AXI4%20Single%20Beat%20Master%20and%20Slave/rtl/axi4_slave.sv</x:v>
      </x:c>
      <x:c r="P270" s="4" t="str">
        <x:f>IF(B270="Done",IF(OR(J270="",K270="",L270=""),"Add run evidence","Recorded"),IF(OR(B270="Blocked",B270="N/A"),IF(M270="","Add reason","Reason recorded"),""))</x:f>
      </x:c>
      <x:c r="Q270" s="4" t="str">
        <x:v>2f827008d725333643a78e6c31935ab24cb4e6b7</x:v>
      </x:c>
    </x:row>
    <x:row r="271" ht="86" customHeight="1">
      <x:c r="A271" s="15" t="str">
        <x:v>RA-025</x:v>
      </x:c>
      <x:c r="B271" s="19" t="str">
        <x:v>Pending</x:v>
      </x:c>
      <x:c r="C271" s="21" t="str">
        <x:v>P0</x:v>
      </x:c>
      <x:c r="D271" s="15" t="str">
        <x:v>RevisionAtlas</x:v>
      </x:c>
      <x:c r="E271" s="15" t="str">
        <x:v>AXI memory-mapped</x:v>
      </x:c>
      <x:c r="F271" s="15" t="str">
        <x:v>Read address/data stalls and response propagation</x:v>
      </x:c>
      <x:c r="G271" s="15" t="str">
        <x:v>s_axi_aclk, s_axi_aresetn, s_axi_arvalid, s_axi_araddr, s_axi_arlen, s_axi_rready, s_axi_arready, s_axi_rvalid, s_axi_rdata, s_axi_rlast, s_axi_rresp</x:v>
      </x:c>
      <x:c r="H271" s="15" t="str">
        <x:v>Read distinct mapped words; insert address stalls and response backpressure. Inject success and error responses when testing a master.</x:v>
      </x:c>
      <x:c r="I271" s="15" t="str">
        <x:v>Each accepted read returns exactly one response for AXI-Lite, or the requested beats for burst AXI. Pending read data/response/last remain stable until accepted; errors must reach the application result.</x:v>
      </x:c>
      <x:c r="J271" s="17"/>
      <x:c r="K271" s="24"/>
      <x:c r="L271" s="17"/>
      <x:c r="M271" s="17"/>
      <x:c r="N271" s="15" t="str">
        <x:v>Protocols/04 AMBA/03 AXI/Code/Section 08 - AXI4 Single Beat/Lessons 103-112 - AXI4 Single Beat Master and Slave/rtl/axi4_slave.sv</x:v>
      </x:c>
      <x:c r="O271" s="26" t="str">
        <x:v>https://github.com/kapiltrip/RevisionAtlas/blob/2f827008d725333643a78e6c31935ab24cb4e6b7/Protocols/04%20AMBA/03%20AXI/Code/Section%2008%20-%20AXI4%20Single%20Beat/Lessons%20103-112%20-%20AXI4%20Single%20Beat%20Master%20and%20Slave/rtl/axi4_slave.sv</x:v>
      </x:c>
      <x:c r="P271" s="15" t="str">
        <x:f>IF(B271="Done",IF(OR(J271="",K271="",L271=""),"Add run evidence","Recorded"),IF(OR(B271="Blocked",B271="N/A"),IF(M271="","Add reason","Reason recorded"),""))</x:f>
      </x:c>
      <x:c r="Q271" s="15" t="str">
        <x:v>2f827008d725333643a78e6c31935ab24cb4e6b7</x:v>
      </x:c>
    </x:row>
    <x:row r="272" ht="86" customHeight="1">
      <x:c r="A272" s="4" t="str">
        <x:v>RA-026</x:v>
      </x:c>
      <x:c r="B272" s="19" t="str">
        <x:v>Pending</x:v>
      </x:c>
      <x:c r="C272" s="4" t="str">
        <x:v>P1</x:v>
      </x:c>
      <x:c r="D272" s="4" t="str">
        <x:v>RevisionAtlas</x:v>
      </x:c>
      <x:c r="E272" s="4" t="str">
        <x:v>AXI bursts</x:v>
      </x:c>
      <x:c r="F272" s="4" t="str">
        <x:v>Length, address progression and final beat</x:v>
      </x:c>
      <x:c r="G272" s="4" t="str">
        <x:v>s_axi_aclk, s_axi_awid, s_axi_awaddr, s_axi_awlen, s_axi_awsize, s_axi_awburst, s_axi_wid, s_axi_wlast, s_axi_arid, s_axi_araddr, s_axi_arlen, s_axi_arsize, s_axi_arburst, s_axi_bid, s_axi_rid, s_axi_rlast</x:v>
      </x:c>
      <x:c r="H272" s="4" t="str">
        <x:v>Within the supported design subset, test length fields 0,1,3,15; fixed/increment/wrap modes; delayed final beats and addresses near boundaries.</x:v>
      </x:c>
      <x:c r="I272" s="4" t="str">
        <x:v>Length field N requests N+1 beats. Check bytes-per-beat, wrap region, ID widths and exactly one final-beat marker. Clarify unsupported modes before declaring conformance; single-beat lessons must not be assumed to support every burst.</x:v>
      </x:c>
      <x:c r="J272" s="17"/>
      <x:c r="K272" s="24"/>
      <x:c r="L272" s="17"/>
      <x:c r="M272" s="17"/>
      <x:c r="N272" s="4" t="str">
        <x:v>Protocols/04 AMBA/03 AXI/Code/Section 08 - AXI4 Single Beat/Lessons 103-112 - AXI4 Single Beat Master and Slave/rtl/axi4_slave.sv</x:v>
      </x:c>
      <x:c r="O272" s="25" t="str">
        <x:v>https://github.com/kapiltrip/RevisionAtlas/blob/2f827008d725333643a78e6c31935ab24cb4e6b7/Protocols/04%20AMBA/03%20AXI/Code/Section%2008%20-%20AXI4%20Single%20Beat/Lessons%20103-112%20-%20AXI4%20Single%20Beat%20Master%20and%20Slave/rtl/axi4_slave.sv</x:v>
      </x:c>
      <x:c r="P272" s="4" t="str">
        <x:f>IF(B272="Done",IF(OR(J272="",K272="",L272=""),"Add run evidence","Recorded"),IF(OR(B272="Blocked",B272="N/A"),IF(M272="","Add reason","Reason recorded"),""))</x:f>
      </x:c>
      <x:c r="Q272" s="4" t="str">
        <x:v>2f827008d725333643a78e6c31935ab24cb4e6b7</x:v>
      </x:c>
    </x:row>
    <x:row r="273" ht="86" customHeight="1">
      <x:c r="A273" s="15" t="str">
        <x:v>RA-027</x:v>
      </x:c>
      <x:c r="B273" s="19" t="str">
        <x:v>Pending</x:v>
      </x:c>
      <x:c r="C273" s="21" t="str">
        <x:v>P0</x:v>
      </x:c>
      <x:c r="D273" s="15" t="str">
        <x:v>RevisionAtlas</x:v>
      </x:c>
      <x:c r="E273" s="15" t="str">
        <x:v>AXI memory-mapped</x:v>
      </x:c>
      <x:c r="F273" s="15" t="str">
        <x:v>Independent write channels and byte lanes</x:v>
      </x:c>
      <x:c r="G273" s="15" t="str">
        <x:v>m_axi_aclk, m_axi_aresetn, m_axi_awready, m_axi_wready, m_axi_bresp, m_axi_bvalid, m_axi_awaddr, m_axi_awlen, m_axi_awvalid, m_axi_wdata, m_axi_wstrb, m_axi_wlast, m_axi_wvalid, m_axi_bready</x:v>
      </x:c>
      <x:c r="H273" s="15" t="str">
        <x:v>Try address before data, data before address and simultaneous arrival. Stall address, data and response independently. Exercise each byte strobe and all-zero strobes.</x:v>
      </x:c>
      <x:c r="I273" s="15" t="str">
        <x:v>A transaction completes once, after both address and all required data transfers. Hold each valid/payload until its handshake. Only selected byte lanes change; response remains pending until accepted. Compare source memory mapping before choosing legal addresses.</x:v>
      </x:c>
      <x:c r="J273" s="17"/>
      <x:c r="K273" s="24"/>
      <x:c r="L273" s="17"/>
      <x:c r="M273" s="17"/>
      <x:c r="N273" s="15" t="str">
        <x:v>Protocols/04 AMBA/03 AXI/Code/Section 08 - AXI4 Single Beat/Lessons 103-112 - AXI4 Single Beat Master and Slave/rtl/axi_master.sv</x:v>
      </x:c>
      <x:c r="O273" s="26" t="str">
        <x:v>https://github.com/kapiltrip/RevisionAtlas/blob/2f827008d725333643a78e6c31935ab24cb4e6b7/Protocols/04%20AMBA/03%20AXI/Code/Section%2008%20-%20AXI4%20Single%20Beat/Lessons%20103-112%20-%20AXI4%20Single%20Beat%20Master%20and%20Slave/rtl/axi_master.sv</x:v>
      </x:c>
      <x:c r="P273" s="15" t="str">
        <x:f>IF(B273="Done",IF(OR(J273="",K273="",L273=""),"Add run evidence","Recorded"),IF(OR(B273="Blocked",B273="N/A"),IF(M273="","Add reason","Reason recorded"),""))</x:f>
      </x:c>
      <x:c r="Q273" s="15" t="str">
        <x:v>2f827008d725333643a78e6c31935ab24cb4e6b7</x:v>
      </x:c>
    </x:row>
    <x:row r="274" ht="86" customHeight="1">
      <x:c r="A274" s="4" t="str">
        <x:v>RA-028</x:v>
      </x:c>
      <x:c r="B274" s="19" t="str">
        <x:v>Pending</x:v>
      </x:c>
      <x:c r="C274" s="20" t="str">
        <x:v>P0</x:v>
      </x:c>
      <x:c r="D274" s="4" t="str">
        <x:v>RevisionAtlas</x:v>
      </x:c>
      <x:c r="E274" s="4" t="str">
        <x:v>AXI memory-mapped</x:v>
      </x:c>
      <x:c r="F274" s="4" t="str">
        <x:v>Read address/data stalls and response propagation</x:v>
      </x:c>
      <x:c r="G274" s="4" t="str">
        <x:v>m_axi_aclk, m_axi_aresetn, m_axi_arready, m_axi_rdata, m_axi_rresp, m_axi_rlast, m_axi_rvalid, m_axi_araddr, m_axi_arlen, m_axi_arvalid, m_axi_rready</x:v>
      </x:c>
      <x:c r="H274" s="4" t="str">
        <x:v>Read distinct mapped words; insert address stalls and response backpressure. Inject success and error responses when testing a master.</x:v>
      </x:c>
      <x:c r="I274" s="4" t="str">
        <x:v>Each accepted read returns exactly one response for AXI-Lite, or the requested beats for burst AXI. Pending read data/response/last remain stable until accepted; errors must reach the application result.</x:v>
      </x:c>
      <x:c r="J274" s="17"/>
      <x:c r="K274" s="24"/>
      <x:c r="L274" s="17"/>
      <x:c r="M274" s="17"/>
      <x:c r="N274" s="4" t="str">
        <x:v>Protocols/04 AMBA/03 AXI/Code/Section 08 - AXI4 Single Beat/Lessons 103-112 - AXI4 Single Beat Master and Slave/rtl/axi_master.sv</x:v>
      </x:c>
      <x:c r="O274" s="25" t="str">
        <x:v>https://github.com/kapiltrip/RevisionAtlas/blob/2f827008d725333643a78e6c31935ab24cb4e6b7/Protocols/04%20AMBA/03%20AXI/Code/Section%2008%20-%20AXI4%20Single%20Beat/Lessons%20103-112%20-%20AXI4%20Single%20Beat%20Master%20and%20Slave/rtl/axi_master.sv</x:v>
      </x:c>
      <x:c r="P274" s="4" t="str">
        <x:f>IF(B274="Done",IF(OR(J274="",K274="",L274=""),"Add run evidence","Recorded"),IF(OR(B274="Blocked",B274="N/A"),IF(M274="","Add reason","Reason recorded"),""))</x:f>
      </x:c>
      <x:c r="Q274" s="4" t="str">
        <x:v>2f827008d725333643a78e6c31935ab24cb4e6b7</x:v>
      </x:c>
    </x:row>
    <x:row r="275" ht="86" customHeight="1">
      <x:c r="A275" s="15" t="str">
        <x:v>RA-029</x:v>
      </x:c>
      <x:c r="B275" s="19" t="str">
        <x:v>Pending</x:v>
      </x:c>
      <x:c r="C275" s="15" t="str">
        <x:v>P1</x:v>
      </x:c>
      <x:c r="D275" s="15" t="str">
        <x:v>RevisionAtlas</x:v>
      </x:c>
      <x:c r="E275" s="15" t="str">
        <x:v>AXI bursts</x:v>
      </x:c>
      <x:c r="F275" s="15" t="str">
        <x:v>Length, address progression and final beat</x:v>
      </x:c>
      <x:c r="G275" s="15" t="str">
        <x:v>m_axi_aclk, m_axi_bid, m_axi_rid, m_axi_rlast, m_axi_awid, m_axi_awaddr, m_axi_awsize, m_axi_awburst, m_axi_awlen, m_axi_wid, m_axi_wlast, m_axi_arid, m_axi_araddr, m_axi_arlen, m_axi_arsize, m_axi_arburst</x:v>
      </x:c>
      <x:c r="H275" s="15" t="str">
        <x:v>Within the supported design subset, test length fields 0,1,3,15; fixed/increment/wrap modes; delayed final beats and addresses near boundaries.</x:v>
      </x:c>
      <x:c r="I275" s="15" t="str">
        <x:v>Length field N requests N+1 beats. Check bytes-per-beat, wrap region, ID widths and exactly one final-beat marker. Clarify unsupported modes before declaring conformance; single-beat lessons must not be assumed to support every burst.</x:v>
      </x:c>
      <x:c r="J275" s="17"/>
      <x:c r="K275" s="24"/>
      <x:c r="L275" s="17"/>
      <x:c r="M275" s="17"/>
      <x:c r="N275" s="15" t="str">
        <x:v>Protocols/04 AMBA/03 AXI/Code/Section 08 - AXI4 Single Beat/Lessons 103-112 - AXI4 Single Beat Master and Slave/rtl/axi_master.sv</x:v>
      </x:c>
      <x:c r="O275" s="26" t="str">
        <x:v>https://github.com/kapiltrip/RevisionAtlas/blob/2f827008d725333643a78e6c31935ab24cb4e6b7/Protocols/04%20AMBA/03%20AXI/Code/Section%2008%20-%20AXI4%20Single%20Beat/Lessons%20103-112%20-%20AXI4%20Single%20Beat%20Master%20and%20Slave/rtl/axi_master.sv</x:v>
      </x:c>
      <x:c r="P275" s="15" t="str">
        <x:f>IF(B275="Done",IF(OR(J275="",K275="",L275=""),"Add run evidence","Recorded"),IF(OR(B275="Blocked",B275="N/A"),IF(M275="","Add reason","Reason recorded"),""))</x:f>
      </x:c>
      <x:c r="Q275" s="15" t="str">
        <x:v>2f827008d725333643a78e6c31935ab24cb4e6b7</x:v>
      </x:c>
    </x:row>
    <x:row r="276" ht="86" customHeight="1">
      <x:c r="A276" s="4" t="str">
        <x:v>RA-030</x:v>
      </x:c>
      <x:c r="B276" s="19" t="str">
        <x:v>Pending</x:v>
      </x:c>
      <x:c r="C276" s="20" t="str">
        <x:v>P0</x:v>
      </x:c>
      <x:c r="D276" s="4" t="str">
        <x:v>RevisionAtlas</x:v>
      </x:c>
      <x:c r="E276" s="4" t="str">
        <x:v>AXI memory-mapped</x:v>
      </x:c>
      <x:c r="F276" s="4" t="str">
        <x:v>Independent write channels and byte lanes</x:v>
      </x:c>
      <x:c r="G276" s="4" t="str">
        <x:v>s_axi_aclk, s_axi_aresetn, s_axi_awvalid, s_axi_awaddr, s_axi_awlen, s_axi_wvalid, s_axi_wdata, s_axi_wstrb, s_axi_wlast, s_axi_bready, s_axi_awready, s_axi_wready, s_axi_bvalid, s_axi_bresp</x:v>
      </x:c>
      <x:c r="H276" s="4" t="str">
        <x:v>Try address before data, data before address and simultaneous arrival. Stall address, data and response independently. Exercise each byte strobe and all-zero strobes.</x:v>
      </x:c>
      <x:c r="I276" s="4" t="str">
        <x:v>A transaction completes once, after both address and all required data transfers. Hold each valid/payload until its handshake. Only selected byte lanes change; response remains pending until accepted. Compare source memory mapping before choosing legal addresses.</x:v>
      </x:c>
      <x:c r="J276" s="17"/>
      <x:c r="K276" s="24"/>
      <x:c r="L276" s="17"/>
      <x:c r="M276" s="17"/>
      <x:c r="N276" s="4" t="str">
        <x:v>Protocols/04 AMBA/03 AXI/Code/Section 09 - AXI4 Burst Modes/Lessons 115-128 - AXI4 Burst Master and Slave/rtl/axi4_slave.sv</x:v>
      </x:c>
      <x:c r="O276" s="25" t="str">
        <x:v>https://github.com/kapiltrip/RevisionAtlas/blob/2f827008d725333643a78e6c31935ab24cb4e6b7/Protocols/04%20AMBA/03%20AXI/Code/Section%2009%20-%20AXI4%20Burst%20Modes/Lessons%20115-128%20-%20AXI4%20Burst%20Master%20and%20Slave/rtl/axi4_slave.sv</x:v>
      </x:c>
      <x:c r="P276" s="4" t="str">
        <x:f>IF(B276="Done",IF(OR(J276="",K276="",L276=""),"Add run evidence","Recorded"),IF(OR(B276="Blocked",B276="N/A"),IF(M276="","Add reason","Reason recorded"),""))</x:f>
      </x:c>
      <x:c r="Q276" s="4" t="str">
        <x:v>2f827008d725333643a78e6c31935ab24cb4e6b7</x:v>
      </x:c>
    </x:row>
    <x:row r="277" ht="86" customHeight="1">
      <x:c r="A277" s="15" t="str">
        <x:v>RA-031</x:v>
      </x:c>
      <x:c r="B277" s="19" t="str">
        <x:v>Pending</x:v>
      </x:c>
      <x:c r="C277" s="21" t="str">
        <x:v>P0</x:v>
      </x:c>
      <x:c r="D277" s="15" t="str">
        <x:v>RevisionAtlas</x:v>
      </x:c>
      <x:c r="E277" s="15" t="str">
        <x:v>AXI memory-mapped</x:v>
      </x:c>
      <x:c r="F277" s="15" t="str">
        <x:v>Read address/data stalls and response propagation</x:v>
      </x:c>
      <x:c r="G277" s="15" t="str">
        <x:v>s_axi_aclk, s_axi_aresetn, s_axi_arvalid, s_axi_araddr, s_axi_arlen, s_axi_rready, s_axi_arready, s_axi_rvalid, s_axi_rdata, s_axi_rlast, s_axi_rresp</x:v>
      </x:c>
      <x:c r="H277" s="15" t="str">
        <x:v>Read distinct mapped words; insert address stalls and response backpressure. Inject success and error responses when testing a master.</x:v>
      </x:c>
      <x:c r="I277" s="15" t="str">
        <x:v>Each accepted read returns exactly one response for AXI-Lite, or the requested beats for burst AXI. Pending read data/response/last remain stable until accepted; errors must reach the application result.</x:v>
      </x:c>
      <x:c r="J277" s="17"/>
      <x:c r="K277" s="24"/>
      <x:c r="L277" s="17"/>
      <x:c r="M277" s="17"/>
      <x:c r="N277" s="15" t="str">
        <x:v>Protocols/04 AMBA/03 AXI/Code/Section 09 - AXI4 Burst Modes/Lessons 115-128 - AXI4 Burst Master and Slave/rtl/axi4_slave.sv</x:v>
      </x:c>
      <x:c r="O277" s="26" t="str">
        <x:v>https://github.com/kapiltrip/RevisionAtlas/blob/2f827008d725333643a78e6c31935ab24cb4e6b7/Protocols/04%20AMBA/03%20AXI/Code/Section%2009%20-%20AXI4%20Burst%20Modes/Lessons%20115-128%20-%20AXI4%20Burst%20Master%20and%20Slave/rtl/axi4_slave.sv</x:v>
      </x:c>
      <x:c r="P277" s="15" t="str">
        <x:f>IF(B277="Done",IF(OR(J277="",K277="",L277=""),"Add run evidence","Recorded"),IF(OR(B277="Blocked",B277="N/A"),IF(M277="","Add reason","Reason recorded"),""))</x:f>
      </x:c>
      <x:c r="Q277" s="15" t="str">
        <x:v>2f827008d725333643a78e6c31935ab24cb4e6b7</x:v>
      </x:c>
    </x:row>
    <x:row r="278" ht="86" customHeight="1">
      <x:c r="A278" s="4" t="str">
        <x:v>RA-032</x:v>
      </x:c>
      <x:c r="B278" s="19" t="str">
        <x:v>Pending</x:v>
      </x:c>
      <x:c r="C278" s="4" t="str">
        <x:v>P1</x:v>
      </x:c>
      <x:c r="D278" s="4" t="str">
        <x:v>RevisionAtlas</x:v>
      </x:c>
      <x:c r="E278" s="4" t="str">
        <x:v>AXI bursts</x:v>
      </x:c>
      <x:c r="F278" s="4" t="str">
        <x:v>Length, address progression and final beat</x:v>
      </x:c>
      <x:c r="G278" s="4" t="str">
        <x:v>s_axi_aclk, s_axi_awid, s_axi_awaddr, s_axi_awlen, s_axi_awsize, s_axi_awburst, s_axi_wid, s_axi_wlast, s_axi_arid, s_axi_araddr, s_axi_arlen, s_axi_arsize, s_axi_arburst, s_axi_bid, s_axi_rid, s_axi_rlast</x:v>
      </x:c>
      <x:c r="H278" s="4" t="str">
        <x:v>Within the supported design subset, test length fields 0,1,3,15; fixed/increment/wrap modes; delayed final beats and addresses near boundaries.</x:v>
      </x:c>
      <x:c r="I278" s="4" t="str">
        <x:v>Length field N requests N+1 beats. Check bytes-per-beat, wrap region, ID widths and exactly one final-beat marker. Clarify unsupported modes before declaring conformance; single-beat lessons must not be assumed to support every burst.</x:v>
      </x:c>
      <x:c r="J278" s="17"/>
      <x:c r="K278" s="24"/>
      <x:c r="L278" s="17"/>
      <x:c r="M278" s="17"/>
      <x:c r="N278" s="4" t="str">
        <x:v>Protocols/04 AMBA/03 AXI/Code/Section 09 - AXI4 Burst Modes/Lessons 115-128 - AXI4 Burst Master and Slave/rtl/axi4_slave.sv</x:v>
      </x:c>
      <x:c r="O278" s="25" t="str">
        <x:v>https://github.com/kapiltrip/RevisionAtlas/blob/2f827008d725333643a78e6c31935ab24cb4e6b7/Protocols/04%20AMBA/03%20AXI/Code/Section%2009%20-%20AXI4%20Burst%20Modes/Lessons%20115-128%20-%20AXI4%20Burst%20Master%20and%20Slave/rtl/axi4_slave.sv</x:v>
      </x:c>
      <x:c r="P278" s="4" t="str">
        <x:f>IF(B278="Done",IF(OR(J278="",K278="",L278=""),"Add run evidence","Recorded"),IF(OR(B278="Blocked",B278="N/A"),IF(M278="","Add reason","Reason recorded"),""))</x:f>
      </x:c>
      <x:c r="Q278" s="4" t="str">
        <x:v>2f827008d725333643a78e6c31935ab24cb4e6b7</x:v>
      </x:c>
    </x:row>
    <x:row r="279" ht="86" customHeight="1">
      <x:c r="A279" s="15" t="str">
        <x:v>RA-033</x:v>
      </x:c>
      <x:c r="B279" s="19" t="str">
        <x:v>Pending</x:v>
      </x:c>
      <x:c r="C279" s="21" t="str">
        <x:v>P0</x:v>
      </x:c>
      <x:c r="D279" s="15" t="str">
        <x:v>RevisionAtlas</x:v>
      </x:c>
      <x:c r="E279" s="15" t="str">
        <x:v>AXI memory-mapped</x:v>
      </x:c>
      <x:c r="F279" s="15" t="str">
        <x:v>Independent write channels and byte lanes</x:v>
      </x:c>
      <x:c r="G279" s="15" t="str">
        <x:v>m_axi_aclk, m_axi_aresetn, m_axi_awready, m_axi_wready, m_axi_bresp, m_axi_bvalid, m_axi_awaddr, m_axi_awlen, m_axi_awvalid, m_axi_wdata, m_axi_wstrb, m_axi_wlast, m_axi_wvalid, m_axi_bready</x:v>
      </x:c>
      <x:c r="H279" s="15" t="str">
        <x:v>Try address before data, data before address and simultaneous arrival. Stall address, data and response independently. Exercise each byte strobe and all-zero strobes.</x:v>
      </x:c>
      <x:c r="I279" s="15" t="str">
        <x:v>A transaction completes once, after both address and all required data transfers. Hold each valid/payload until its handshake. Only selected byte lanes change; response remains pending until accepted. Compare source memory mapping before choosing legal addresses.</x:v>
      </x:c>
      <x:c r="J279" s="17"/>
      <x:c r="K279" s="24"/>
      <x:c r="L279" s="17"/>
      <x:c r="M279" s="17"/>
      <x:c r="N279" s="15" t="str">
        <x:v>Protocols/04 AMBA/03 AXI/Code/Section 09 - AXI4 Burst Modes/Lessons 115-128 - AXI4 Burst Master and Slave/rtl/axi_master.sv</x:v>
      </x:c>
      <x:c r="O279" s="26" t="str">
        <x:v>https://github.com/kapiltrip/RevisionAtlas/blob/2f827008d725333643a78e6c31935ab24cb4e6b7/Protocols/04%20AMBA/03%20AXI/Code/Section%2009%20-%20AXI4%20Burst%20Modes/Lessons%20115-128%20-%20AXI4%20Burst%20Master%20and%20Slave/rtl/axi_master.sv</x:v>
      </x:c>
      <x:c r="P279" s="15" t="str">
        <x:f>IF(B279="Done",IF(OR(J279="",K279="",L279=""),"Add run evidence","Recorded"),IF(OR(B279="Blocked",B279="N/A"),IF(M279="","Add reason","Reason recorded"),""))</x:f>
      </x:c>
      <x:c r="Q279" s="15" t="str">
        <x:v>2f827008d725333643a78e6c31935ab24cb4e6b7</x:v>
      </x:c>
    </x:row>
    <x:row r="280" ht="86" customHeight="1">
      <x:c r="A280" s="4" t="str">
        <x:v>RA-034</x:v>
      </x:c>
      <x:c r="B280" s="19" t="str">
        <x:v>Pending</x:v>
      </x:c>
      <x:c r="C280" s="20" t="str">
        <x:v>P0</x:v>
      </x:c>
      <x:c r="D280" s="4" t="str">
        <x:v>RevisionAtlas</x:v>
      </x:c>
      <x:c r="E280" s="4" t="str">
        <x:v>AXI memory-mapped</x:v>
      </x:c>
      <x:c r="F280" s="4" t="str">
        <x:v>Read address/data stalls and response propagation</x:v>
      </x:c>
      <x:c r="G280" s="4" t="str">
        <x:v>m_axi_aclk, m_axi_aresetn, m_axi_arready, m_axi_rdata, m_axi_rresp, m_axi_rlast, m_axi_rvalid, m_axi_araddr, m_axi_arlen, m_axi_arvalid, m_axi_rready</x:v>
      </x:c>
      <x:c r="H280" s="4" t="str">
        <x:v>Read distinct mapped words; insert address stalls and response backpressure. Inject success and error responses when testing a master.</x:v>
      </x:c>
      <x:c r="I280" s="4" t="str">
        <x:v>Each accepted read returns exactly one response for AXI-Lite, or the requested beats for burst AXI. Pending read data/response/last remain stable until accepted; errors must reach the application result.</x:v>
      </x:c>
      <x:c r="J280" s="17"/>
      <x:c r="K280" s="24"/>
      <x:c r="L280" s="17"/>
      <x:c r="M280" s="17"/>
      <x:c r="N280" s="4" t="str">
        <x:v>Protocols/04 AMBA/03 AXI/Code/Section 09 - AXI4 Burst Modes/Lessons 115-128 - AXI4 Burst Master and Slave/rtl/axi_master.sv</x:v>
      </x:c>
      <x:c r="O280" s="25" t="str">
        <x:v>https://github.com/kapiltrip/RevisionAtlas/blob/2f827008d725333643a78e6c31935ab24cb4e6b7/Protocols/04%20AMBA/03%20AXI/Code/Section%2009%20-%20AXI4%20Burst%20Modes/Lessons%20115-128%20-%20AXI4%20Burst%20Master%20and%20Slave/rtl/axi_master.sv</x:v>
      </x:c>
      <x:c r="P280" s="4" t="str">
        <x:f>IF(B280="Done",IF(OR(J280="",K280="",L280=""),"Add run evidence","Recorded"),IF(OR(B280="Blocked",B280="N/A"),IF(M280="","Add reason","Reason recorded"),""))</x:f>
      </x:c>
      <x:c r="Q280" s="4" t="str">
        <x:v>2f827008d725333643a78e6c31935ab24cb4e6b7</x:v>
      </x:c>
    </x:row>
    <x:row r="281" ht="86" customHeight="1">
      <x:c r="A281" s="15" t="str">
        <x:v>RA-035</x:v>
      </x:c>
      <x:c r="B281" s="19" t="str">
        <x:v>Pending</x:v>
      </x:c>
      <x:c r="C281" s="15" t="str">
        <x:v>P1</x:v>
      </x:c>
      <x:c r="D281" s="15" t="str">
        <x:v>RevisionAtlas</x:v>
      </x:c>
      <x:c r="E281" s="15" t="str">
        <x:v>AXI bursts</x:v>
      </x:c>
      <x:c r="F281" s="15" t="str">
        <x:v>Length, address progression and final beat</x:v>
      </x:c>
      <x:c r="G281" s="15" t="str">
        <x:v>m_axi_aclk, m_axi_bid, m_axi_rid, m_axi_rlast, m_axi_awid, m_axi_awaddr, m_axi_awsize, m_axi_awburst, m_axi_awlen, m_axi_wid, m_axi_wlast, m_axi_arid, m_axi_araddr, m_axi_arlen, m_axi_arsize, m_axi_arburst</x:v>
      </x:c>
      <x:c r="H281" s="15" t="str">
        <x:v>Within the supported design subset, test length fields 0,1,3,15; fixed/increment/wrap modes; delayed final beats and addresses near boundaries.</x:v>
      </x:c>
      <x:c r="I281" s="15" t="str">
        <x:v>Length field N requests N+1 beats. Check bytes-per-beat, wrap region, ID widths and exactly one final-beat marker. Clarify unsupported modes before declaring conformance; single-beat lessons must not be assumed to support every burst.</x:v>
      </x:c>
      <x:c r="J281" s="17"/>
      <x:c r="K281" s="24"/>
      <x:c r="L281" s="17"/>
      <x:c r="M281" s="17"/>
      <x:c r="N281" s="15" t="str">
        <x:v>Protocols/04 AMBA/03 AXI/Code/Section 09 - AXI4 Burst Modes/Lessons 115-128 - AXI4 Burst Master and Slave/rtl/axi_master.sv</x:v>
      </x:c>
      <x:c r="O281" s="26" t="str">
        <x:v>https://github.com/kapiltrip/RevisionAtlas/blob/2f827008d725333643a78e6c31935ab24cb4e6b7/Protocols/04%20AMBA/03%20AXI/Code/Section%2009%20-%20AXI4%20Burst%20Modes/Lessons%20115-128%20-%20AXI4%20Burst%20Master%20and%20Slave/rtl/axi_master.sv</x:v>
      </x:c>
      <x:c r="P281" s="15" t="str">
        <x:f>IF(B281="Done",IF(OR(J281="",K281="",L281=""),"Add run evidence","Recorded"),IF(OR(B281="Blocked",B281="N/A"),IF(M281="","Add reason","Reason recorded"),""))</x:f>
      </x:c>
      <x:c r="Q281" s="15" t="str">
        <x:v>2f827008d725333643a78e6c31935ab24cb4e6b7</x:v>
      </x:c>
    </x:row>
    <x:row r="282" ht="86" customHeight="1">
      <x:c r="A282" s="4" t="str">
        <x:v>PP-001</x:v>
      </x:c>
      <x:c r="B282" s="19" t="str">
        <x:v>Pending</x:v>
      </x:c>
      <x:c r="C282" s="20" t="str">
        <x:v>P0</x:v>
      </x:c>
      <x:c r="D282" s="4" t="str">
        <x:v>PlacementPrep</x:v>
      </x:c>
      <x:c r="E282" s="4" t="str">
        <x:v>Serial adder</x:v>
      </x:c>
      <x:c r="F282" s="4" t="str">
        <x:v>Load, enabled cycles and final carry</x:v>
      </x:c>
      <x:c r="G282" s="4" t="str">
        <x:v>clk, rst_n, load, enable, a_in, b_in, sum_out, carry_out, done</x:v>
      </x:c>
      <x:c r="H282" s="4" t="str">
        <x:v>Load 15+1 at WIDTH=4; insert enable gaps and change input operands after load. Repeat with load asserted mid-operation.</x:v>
      </x:c>
      <x:c r="I282" s="4" t="str">
        <x:v>After four enabled compute edges, {carry_out,sum_out}=16 and done=1; pauses do not consume bits. Load clears progress and takes priority over enable.</x:v>
      </x:c>
      <x:c r="J282" s="17"/>
      <x:c r="K282" s="24"/>
      <x:c r="L282" s="17"/>
      <x:c r="M282" s="17"/>
      <x:c r="N282" s="4" t="str">
        <x:v>src/combinational/arithmetic/serial_adder.v</x:v>
      </x:c>
      <x:c r="O282" s="25" t="str">
        <x:v>https://github.com/kapiltrip/PlacementPrep/blob/4aeb1a1555f5051ec06a4cc3fc5ae866fcc13194/src/combinational/arithmetic/serial_adder.v</x:v>
      </x:c>
      <x:c r="P282" s="4" t="str">
        <x:f>IF(B282="Done",IF(OR(J282="",K282="",L282=""),"Add run evidence","Recorded"),IF(OR(B282="Blocked",B282="N/A"),IF(M282="","Add reason","Reason recorded"),""))</x:f>
      </x:c>
      <x:c r="Q282" s="4" t="str">
        <x:v>4aeb1a1555f5051ec06a4cc3fc5ae866fcc13194</x:v>
      </x:c>
    </x:row>
    <x:row r="283" ht="86" customHeight="1">
      <x:c r="A283" s="15" t="str">
        <x:v>PP-002</x:v>
      </x:c>
      <x:c r="B283" s="19" t="str">
        <x:v>Pending</x:v>
      </x:c>
      <x:c r="C283" s="21" t="str">
        <x:v>P0</x:v>
      </x:c>
      <x:c r="D283" s="15" t="str">
        <x:v>PlacementPrep</x:v>
      </x:c>
      <x:c r="E283" s="15" t="str">
        <x:v>Parity pair</x:v>
      </x:c>
      <x:c r="F283" s="15" t="str">
        <x:v>Generated parity and single-bit corruption</x:v>
      </x:c>
      <x:c r="G283" s="15" t="str">
        <x:v>data_in, parity_bit, error</x:v>
      </x:c>
      <x:c r="H283" s="15" t="str">
        <x:v>Connect generator output to checker for ODD=0 and ODD=1. Sweep data, then flip one data bit or parity bit.</x:v>
      </x:c>
      <x:c r="I283" s="15" t="str">
        <x:v>Intended error=0 for a valid codeword and 1 after a single-bit flip. Current checker returns the inverse of that meaning relative to the generator; this should be caught before reusing the pair.</x:v>
      </x:c>
      <x:c r="J283" s="17"/>
      <x:c r="K283" s="24"/>
      <x:c r="L283" s="17"/>
      <x:c r="M283" s="17" t="str">
        <x:v>Static source finding; confirm whether error was intended to mean valid.</x:v>
      </x:c>
      <x:c r="N283" s="15" t="str">
        <x:v>src/combinational/parity/parity_generator.v
src/combinational/parity/parity_checker.v</x:v>
      </x:c>
      <x:c r="O283" s="26" t="str">
        <x:v>https://github.com/kapiltrip/PlacementPrep/blob/4aeb1a1555f5051ec06a4cc3fc5ae866fcc13194/src/combinational/parity/parity_generator.v</x:v>
      </x:c>
      <x:c r="P283" s="15" t="str">
        <x:f>IF(B283="Done",IF(OR(J283="",K283="",L283=""),"Add run evidence","Recorded"),IF(OR(B283="Blocked",B283="N/A"),IF(M283="","Add reason","Reason recorded"),""))</x:f>
      </x:c>
      <x:c r="Q283" s="15" t="str">
        <x:v>4aeb1a1555f5051ec06a4cc3fc5ae866fcc13194</x:v>
      </x:c>
    </x:row>
    <x:row r="284" ht="86" customHeight="1">
      <x:c r="A284" s="4" t="str">
        <x:v>LAB-001</x:v>
      </x:c>
      <x:c r="B284" s="19" t="str">
        <x:v>Pending</x:v>
      </x:c>
      <x:c r="C284" s="20" t="str">
        <x:v>P0</x:v>
      </x:c>
      <x:c r="D284" s="4" t="str">
        <x:v>VerificationLab</x:v>
      </x:c>
      <x:c r="E284" s="4" t="str">
        <x:v>March memory</x:v>
      </x:c>
      <x:c r="F284" s="4" t="str">
        <x:v>March sequence with clocked read</x:v>
      </x:c>
      <x:c r="G284" s="4" t="str">
        <x:v>clk, we, addr, din, dout</x:v>
      </x:c>
      <x:c r="H284" s="4" t="str">
        <x:v>Initialize all 16 addresses to 00. In ascending order read 00 then write FF; read FF then write 00. Repeat those two read/write phases descending, then read 00 everywhere.</x:v>
      </x:c>
      <x:c r="I284" s="4" t="str">
        <x:v>Check each read after a posedge with we=0. Write cycles do not update dout. All addresses and both 0-&gt;1 and 1-&gt;0 transitions are checked; store mismatch address and phase.</x:v>
      </x:c>
      <x:c r="J284" s="17"/>
      <x:c r="K284" s="24"/>
      <x:c r="L284" s="17"/>
      <x:c r="M284" s="17"/>
      <x:c r="N284" s="4" t="str">
        <x:v>simplified/exp8_march_mem16x8/code/mem16x8.sv</x:v>
      </x:c>
      <x:c r="O284" s="25" t="str">
        <x:v>https://github.com/kapiltrip/VerificationLab/blob/0c649a2cbbeef29a88717dda465b6cf958a1bc15/simplified/exp8_march_mem16x8/code/mem16x8.sv</x:v>
      </x:c>
      <x:c r="P284" s="4" t="str">
        <x:f>IF(B284="Done",IF(OR(J284="",K284="",L284=""),"Add run evidence","Recorded"),IF(OR(B284="Blocked",B284="N/A"),IF(M284="","Add reason","Reason recorded"),""))</x:f>
      </x:c>
      <x:c r="Q284" s="4" t="str">
        <x:v>0c649a2cbbeef29a88717dda465b6cf958a1bc15</x:v>
      </x:c>
    </x:row>
    <x:row r="285" ht="86" customHeight="1">
      <x:c r="A285" s="15" t="str">
        <x:v>LAB-002</x:v>
      </x:c>
      <x:c r="B285" s="19" t="str">
        <x:v>Pending</x:v>
      </x:c>
      <x:c r="C285" s="21" t="str">
        <x:v>P0</x:v>
      </x:c>
      <x:c r="D285" s="15" t="str">
        <x:v>VerificationLab</x:v>
      </x:c>
      <x:c r="E285" s="15" t="str">
        <x:v>PLA fault</x:v>
      </x:c>
      <x:c r="F285" s="15" t="str">
        <x:v>Truth table and detecting vectors</x:v>
      </x:c>
      <x:c r="G285" s="15" t="str">
        <x:v>x1, x2, x3, x4, f1</x:v>
      </x:c>
      <x:c r="H285" s="15" t="str">
        <x:v>Compare pla_good and pla_faulty over all 16 input combinations.</x:v>
      </x:c>
      <x:c r="I285" s="15" t="str">
        <x:v>For f1, exactly 1010 and 1110 detect the missing p2-b7 literal; other inputs match. Separately verify the good truth table so equivalence alone cannot hide a shared mistake.</x:v>
      </x:c>
      <x:c r="J285" s="17"/>
      <x:c r="K285" s="24"/>
      <x:c r="L285" s="17"/>
      <x:c r="M285" s="17"/>
      <x:c r="N285" s="15" t="str">
        <x:v>simplified/exp9_pla_p2_b7_growth_fault/code/pla_p2_b7.sv</x:v>
      </x:c>
      <x:c r="O285" s="26" t="str">
        <x:v>https://github.com/kapiltrip/VerificationLab/blob/0c649a2cbbeef29a88717dda465b6cf958a1bc15/simplified/exp9_pla_p2_b7_growth_fault/code/pla_p2_b7.sv</x:v>
      </x:c>
      <x:c r="P285" s="15" t="str">
        <x:f>IF(B285="Done",IF(OR(J285="",K285="",L285=""),"Add run evidence","Recorded"),IF(OR(B285="Blocked",B285="N/A"),IF(M285="","Add reason","Reason recorded"),""))</x:f>
      </x:c>
      <x:c r="Q285" s="15" t="str">
        <x:v>0c649a2cbbeef29a88717dda465b6cf958a1bc15</x:v>
      </x:c>
    </x:row>
    <x:row r="286" ht="86" customHeight="1">
      <x:c r="A286" s="4" t="str">
        <x:v>LAB-003</x:v>
      </x:c>
      <x:c r="B286" s="19" t="str">
        <x:v>Pending</x:v>
      </x:c>
      <x:c r="C286" s="20" t="str">
        <x:v>P0</x:v>
      </x:c>
      <x:c r="D286" s="4" t="str">
        <x:v>VerificationLab</x:v>
      </x:c>
      <x:c r="E286" s="4" t="str">
        <x:v>Fault injection</x:v>
      </x:c>
      <x:c r="F286" s="4" t="str">
        <x:v>Fault-free arithmetic and stuck-at matrix</x:v>
      </x:c>
      <x:c r="G286" s="4" t="str">
        <x:v>a, b, cin, fault_en, fault_node, stuck_val, sum, cout</x:v>
      </x:c>
      <x:c r="H286" s="4" t="str">
        <x:v>First sweep all eight patterns with fault_en=0. Then repeat for each fault_node 0..4 and stuck_val 0/1; record which patterns detect each fault.</x:v>
      </x:c>
      <x:c r="I286" s="4" t="str">
        <x:v>Fault-free {cout,sum}=a+b+cin. Detection means a mismatch versus the independently calculated good output for that same vector. Nodes 5..7 are unmapped in this version; do not count them as additional modeled faults.</x:v>
      </x:c>
      <x:c r="J286" s="17"/>
      <x:c r="K286" s="24"/>
      <x:c r="L286" s="17"/>
      <x:c r="M286" s="17"/>
      <x:c r="N286" s="4" t="str">
        <x:v>simplified/exp2_full_adder_fault/code/full_adder_fault.sv</x:v>
      </x:c>
      <x:c r="O286" s="25" t="str">
        <x:v>https://github.com/kapiltrip/VerificationLab/blob/0c649a2cbbeef29a88717dda465b6cf958a1bc15/simplified/exp2_full_adder_fault/code/full_adder_fault.sv</x:v>
      </x:c>
      <x:c r="P286" s="4" t="str">
        <x:f>IF(B286="Done",IF(OR(J286="",K286="",L286=""),"Add run evidence","Recorded"),IF(OR(B286="Blocked",B286="N/A"),IF(M286="","Add reason","Reason recorded"),""))</x:f>
      </x:c>
      <x:c r="Q286" s="4" t="str">
        <x:v>0c649a2cbbeef29a88717dda465b6cf958a1bc15</x:v>
      </x:c>
    </x:row>
    <x:row r="287" ht="86" customHeight="1">
      <x:c r="A287" s="15" t="str">
        <x:v>LAB-004</x:v>
      </x:c>
      <x:c r="B287" s="19" t="str">
        <x:v>Pending</x:v>
      </x:c>
      <x:c r="C287" s="15" t="str">
        <x:v>P1</x:v>
      </x:c>
      <x:c r="D287" s="15" t="str">
        <x:v>VerificationLab</x:v>
      </x:c>
      <x:c r="E287" s="15" t="str">
        <x:v>Fault equivalence</x:v>
      </x:c>
      <x:c r="F287" s="15" t="str">
        <x:v>Compare complete detection sets</x:v>
      </x:c>
      <x:c r="G287" s="15" t="str">
        <x:v>a, b, fault_en, fault_id, stuck_val, y</x:v>
      </x:c>
      <x:c r="H287" s="15" t="str">
        <x:v>Run all four inputs for the good XOR and for each fault_id 0..3 with both stuck values; build an eight-column detection matrix.</x:v>
      </x:c>
      <x:c r="I287" s="15" t="str">
        <x:v>Good y=a XOR b. Claim equivalence only when full output behavior/detection sets agree across the entire input space, not from one common detecting vector.</x:v>
      </x:c>
      <x:c r="J287" s="17"/>
      <x:c r="K287" s="24"/>
      <x:c r="L287" s="17"/>
      <x:c r="M287" s="17"/>
      <x:c r="N287" s="15" t="str">
        <x:v>simplified/exp3_xor_fault_equiv/code/xor_fault_equiv.sv</x:v>
      </x:c>
      <x:c r="O287" s="26" t="str">
        <x:v>https://github.com/kapiltrip/VerificationLab/blob/0c649a2cbbeef29a88717dda465b6cf958a1bc15/simplified/exp3_xor_fault_equiv/code/xor_fault_equiv.sv</x:v>
      </x:c>
      <x:c r="P287" s="15" t="str">
        <x:f>IF(B287="Done",IF(OR(J287="",K287="",L287=""),"Add run evidence","Recorded"),IF(OR(B287="Blocked",B287="N/A"),IF(M287="","Add reason","Reason recorded"),""))</x:f>
      </x:c>
      <x:c r="Q287" s="15" t="str">
        <x:v>0c649a2cbbeef29a88717dda465b6cf958a1bc15</x:v>
      </x:c>
    </x:row>
    <x:row r="288" ht="86" customHeight="1">
      <x:c r="A288" s="4" t="str">
        <x:v>RA-036</x:v>
      </x:c>
      <x:c r="B288" s="19" t="str">
        <x:v>Pending</x:v>
      </x:c>
      <x:c r="C288" s="20" t="str">
        <x:v>P0</x:v>
      </x:c>
      <x:c r="D288" s="4" t="str">
        <x:v>RevisionAtlas</x:v>
      </x:c>
      <x:c r="E288" s="4" t="str">
        <x:v>AXI integration</x:v>
      </x:c>
      <x:c r="F288" s="4" t="str">
        <x:v>Write/read round trip and protocol monitor</x:v>
      </x:c>
      <x:c r="G288" s="4" t="str">
        <x:v>clk, resetn, wr, wr_addr, wr_burst_len, wr_burst_type, wr_din, wr_strbin, rd_addr, rd_burst_len, rd_burst_type, rout, resp, pc_status, pc_asserted</x:v>
      </x:c>
      <x:c r="H288" s="4" t="str">
        <x:v>Compile this wrapper with its matching lesson master/slave and the actual axi_protocol_checker_0 simulation model. Reset low, write distinct mapped words with individual byte strobes, then read them back. Start with length=0; exercise supported bursts separately. Observe internal valid/ready acceptance and set a timeout.</x:v>
      </x:c>
      <x:c r="I288" s="4" t="str">
        <x:v>Accepted reads return the previously written selected bytes and a valid response after the clocked transaction completes. For legal monitored traffic, pc_asserted stays 0; decode pc_status on a violation. Verify checker connections first: some fields are constants, so a quiet checker alone cannot certify every bus signal.</x:v>
      </x:c>
      <x:c r="J288" s="17"/>
      <x:c r="K288" s="24"/>
      <x:c r="L288" s="17"/>
      <x:c r="M288" s="17" t="str">
        <x:v>Requires the vendor checker model. If unavailable, mark this case Blocked; a dummy checker is not a protocol test.</x:v>
      </x:c>
      <x:c r="N288" s="4" t="str">
        <x:v>Protocols/04 AMBA/03 AXI/Code/Section 08 - AXI4 Single Beat/Lessons 103-112 - AXI4 Single Beat Master and Slave/rtl/connect_m_s.sv</x:v>
      </x:c>
      <x:c r="O288" s="25" t="str">
        <x:v>https://github.com/kapiltrip/RevisionAtlas/blob/2f827008d725333643a78e6c31935ab24cb4e6b7/Protocols/04%20AMBA/03%20AXI/Code/Section%2008%20-%20AXI4%20Single%20Beat/Lessons%20103-112%20-%20AXI4%20Single%20Beat%20Master%20and%20Slave/rtl/connect_m_s.sv</x:v>
      </x:c>
      <x:c r="P288" s="4" t="str">
        <x:f>IF(B288="Done",IF(OR(J288="",K288="",L288=""),"Add run evidence","Recorded"),IF(OR(B288="Blocked",B288="N/A"),IF(M288="","Add reason","Reason recorded"),""))</x:f>
      </x:c>
      <x:c r="Q288" s="4" t="str">
        <x:v>2f827008d725333643a78e6c31935ab24cb4e6b7</x:v>
      </x:c>
    </x:row>
    <x:row r="289" ht="86" customHeight="1">
      <x:c r="A289" s="15" t="str">
        <x:v>RA-037</x:v>
      </x:c>
      <x:c r="B289" s="19" t="str">
        <x:v>Pending</x:v>
      </x:c>
      <x:c r="C289" s="21" t="str">
        <x:v>P0</x:v>
      </x:c>
      <x:c r="D289" s="15" t="str">
        <x:v>RevisionAtlas</x:v>
      </x:c>
      <x:c r="E289" s="15" t="str">
        <x:v>AXI integration</x:v>
      </x:c>
      <x:c r="F289" s="15" t="str">
        <x:v>Write/read round trip and protocol monitor</x:v>
      </x:c>
      <x:c r="G289" s="15" t="str">
        <x:v>clk, resetn, wr, wr_addr, wr_burst_len, wr_burst_type, wr_din, wr_strbin, rd_addr, rd_burst_len, rd_burst_type, rout, resp, pc_status, pc_asserted</x:v>
      </x:c>
      <x:c r="H289" s="15" t="str">
        <x:v>Compile this wrapper with its matching lesson master/slave and the actual axi_protocol_checker_0 simulation model. Reset low, write distinct mapped words with individual byte strobes, then read them back. Start with length=0; exercise supported bursts separately. Observe internal valid/ready acceptance and set a timeout.</x:v>
      </x:c>
      <x:c r="I289" s="15" t="str">
        <x:v>Accepted reads return the previously written selected bytes and a valid response after the clocked transaction completes. For legal monitored traffic, pc_asserted stays 0; decode pc_status on a violation. Verify checker connections first: some fields are constants, so a quiet checker alone cannot certify every bus signal.</x:v>
      </x:c>
      <x:c r="J289" s="17"/>
      <x:c r="K289" s="24"/>
      <x:c r="L289" s="17"/>
      <x:c r="M289" s="17" t="str">
        <x:v>Requires the vendor checker model. If unavailable, mark this case Blocked; a dummy checker is not a protocol test.</x:v>
      </x:c>
      <x:c r="N289" s="15" t="str">
        <x:v>Protocols/04 AMBA/03 AXI/Code/Section 09 - AXI4 Burst Modes/Lessons 115-128 - AXI4 Burst Master and Slave/rtl/connect_m_s.sv</x:v>
      </x:c>
      <x:c r="O289" s="26" t="str">
        <x:v>https://github.com/kapiltrip/RevisionAtlas/blob/2f827008d725333643a78e6c31935ab24cb4e6b7/Protocols/04%20AMBA/03%20AXI/Code/Section%2009%20-%20AXI4%20Burst%20Modes/Lessons%20115-128%20-%20AXI4%20Burst%20Master%20and%20Slave/rtl/connect_m_s.sv</x:v>
      </x:c>
      <x:c r="P289" s="15" t="str">
        <x:f>IF(B289="Done",IF(OR(J289="",K289="",L289=""),"Add run evidence","Recorded"),IF(OR(B289="Blocked",B289="N/A"),IF(M289="","Add reason","Reason recorded"),""))</x:f>
      </x:c>
      <x:c r="Q289" s="15" t="str">
        <x:v>2f827008d725333643a78e6c31935ab24cb4e6b7</x:v>
      </x:c>
    </x:row>
    <x:row r="290" ht="86" customHeight="1">
      <x:c r="A290" s="4" t="str">
        <x:v>DP-033</x:v>
      </x:c>
      <x:c r="B290" s="19" t="str">
        <x:v>Pending</x:v>
      </x:c>
      <x:c r="C290" s="4" t="str">
        <x:v>P1</x:v>
      </x:c>
      <x:c r="D290" s="4" t="str">
        <x:v>DesignProject</x:v>
      </x:c>
      <x:c r="E290" s="4" t="str">
        <x:v>Checker negative test</x:v>
      </x:c>
      <x:c r="F290" s="4" t="str">
        <x:v>Detect reset count not cleared</x:v>
      </x:c>
      <x:c r="G290" s="4" t="str">
        <x:v>clk, rst, wr_en, rd_en, wr_data, rd_data, full, empty</x:v>
      </x:c>
      <x:c r="H290" s="4" t="str">
        <x:v>Fill several words, then assert rst mid-stream and verify the empty state before sending fresh data. Compile this fixture in isolation with the existing checker, separately from the good implementation.</x:v>
      </x:c>
      <x:c r="I290" s="4" t="str">
        <x:v>The checker reports the intended mismatch with a useful cycle/value diagnostic. This negative case is Done only when the injected defect is detected and the same stimulus passes against the good implementation. A broken DUT running without a complaint is a failed checker test.</x:v>
      </x:c>
      <x:c r="J290" s="17"/>
      <x:c r="K290" s="24"/>
      <x:c r="L290" s="17"/>
      <x:c r="M290" s="17" t="str">
        <x:v>Intentional fault fixture; never include it alongside the active DUT under the same module name.</x:v>
      </x:c>
      <x:c r="N290" s="4" t="str">
        <x:v>eda_playground/buggy_designs/design_issue1_reset_count_not_cleared.sv</x:v>
      </x:c>
      <x:c r="O290" s="25" t="str">
        <x:v>https://github.com/kapiltrip/DesignProject/blob/445e9ecfeab646f3c08a43b2e9bdc5fcb89950f4/eda_playground/buggy_designs/design_issue1_reset_count_not_cleared.sv</x:v>
      </x:c>
      <x:c r="P290" s="4" t="str">
        <x:f>IF(B290="Done",IF(OR(J290="",K290="",L290=""),"Add run evidence","Recorded"),IF(OR(B290="Blocked",B290="N/A"),IF(M290="","Add reason","Reason recorded"),""))</x:f>
      </x:c>
      <x:c r="Q290" s="4" t="str">
        <x:v>445e9ecfeab646f3c08a43b2e9bdc5fcb89950f4</x:v>
      </x:c>
    </x:row>
    <x:row r="291" ht="86" customHeight="1">
      <x:c r="A291" s="15" t="str">
        <x:v>DP-034</x:v>
      </x:c>
      <x:c r="B291" s="19" t="str">
        <x:v>Pending</x:v>
      </x:c>
      <x:c r="C291" s="15" t="str">
        <x:v>P1</x:v>
      </x:c>
      <x:c r="D291" s="15" t="str">
        <x:v>DesignProject</x:v>
      </x:c>
      <x:c r="E291" s="15" t="str">
        <x:v>Checker negative test</x:v>
      </x:c>
      <x:c r="F291" s="15" t="str">
        <x:v>Detect read while empty</x:v>
      </x:c>
      <x:c r="G291" s="15" t="str">
        <x:v>clk, rst, wr_en, rd_en, wr_data, rd_data, full, empty</x:v>
      </x:c>
      <x:c r="H291" s="15" t="str">
        <x:v>Assert rd_en repeatedly while empty, then write and drain distinct words. Compile this fixture in isolation with the existing checker, separately from the good implementation.</x:v>
      </x:c>
      <x:c r="I291" s="15" t="str">
        <x:v>The checker reports the intended mismatch with a useful cycle/value diagnostic. This negative case is Done only when the injected defect is detected and the same stimulus passes against the good implementation. A broken DUT running without a complaint is a failed checker test.</x:v>
      </x:c>
      <x:c r="J291" s="17"/>
      <x:c r="K291" s="24"/>
      <x:c r="L291" s="17"/>
      <x:c r="M291" s="17" t="str">
        <x:v>Intentional fault fixture; never include it alongside the active DUT under the same module name.</x:v>
      </x:c>
      <x:c r="N291" s="15" t="str">
        <x:v>eda_playground/buggy_designs/design_issue2_read_while_empty.sv</x:v>
      </x:c>
      <x:c r="O291" s="26" t="str">
        <x:v>https://github.com/kapiltrip/DesignProject/blob/445e9ecfeab646f3c08a43b2e9bdc5fcb89950f4/eda_playground/buggy_designs/design_issue2_read_while_empty.sv</x:v>
      </x:c>
      <x:c r="P291" s="15" t="str">
        <x:f>IF(B291="Done",IF(OR(J291="",K291="",L291=""),"Add run evidence","Recorded"),IF(OR(B291="Blocked",B291="N/A"),IF(M291="","Add reason","Reason recorded"),""))</x:f>
      </x:c>
      <x:c r="Q291" s="15" t="str">
        <x:v>445e9ecfeab646f3c08a43b2e9bdc5fcb89950f4</x:v>
      </x:c>
    </x:row>
    <x:row r="292" ht="86" customHeight="1">
      <x:c r="A292" s="4" t="str">
        <x:v>DP-035</x:v>
      </x:c>
      <x:c r="B292" s="19" t="str">
        <x:v>Pending</x:v>
      </x:c>
      <x:c r="C292" s="4" t="str">
        <x:v>P1</x:v>
      </x:c>
      <x:c r="D292" s="4" t="str">
        <x:v>DesignProject</x:v>
      </x:c>
      <x:c r="E292" s="4" t="str">
        <x:v>Checker negative test</x:v>
      </x:c>
      <x:c r="F292" s="4" t="str">
        <x:v>Detect full flag early</x:v>
      </x:c>
      <x:c r="G292" s="4" t="str">
        <x:v>clk, rst, wr_en, rd_en, wr_data, rd_data, full, empty</x:v>
      </x:c>
      <x:c r="H292" s="4" t="str">
        <x:v>Write exactly DEPTH distinct words without reading; check full only at capacity. Compile this fixture in isolation with the existing checker, separately from the good implementation.</x:v>
      </x:c>
      <x:c r="I292" s="4" t="str">
        <x:v>The checker reports the intended mismatch with a useful cycle/value diagnostic. This negative case is Done only when the injected defect is detected and the same stimulus passes against the good implementation. A broken DUT running without a complaint is a failed checker test.</x:v>
      </x:c>
      <x:c r="J292" s="17"/>
      <x:c r="K292" s="24"/>
      <x:c r="L292" s="17"/>
      <x:c r="M292" s="17" t="str">
        <x:v>Intentional fault fixture; never include it alongside the active DUT under the same module name.</x:v>
      </x:c>
      <x:c r="N292" s="4" t="str">
        <x:v>eda_playground/buggy_designs/design_issue3_full_flag_early.sv</x:v>
      </x:c>
      <x:c r="O292" s="25" t="str">
        <x:v>https://github.com/kapiltrip/DesignProject/blob/445e9ecfeab646f3c08a43b2e9bdc5fcb89950f4/eda_playground/buggy_designs/design_issue3_full_flag_early.sv</x:v>
      </x:c>
      <x:c r="P292" s="4" t="str">
        <x:f>IF(B292="Done",IF(OR(J292="",K292="",L292=""),"Add run evidence","Recorded"),IF(OR(B292="Blocked",B292="N/A"),IF(M292="","Add reason","Reason recorded"),""))</x:f>
      </x:c>
      <x:c r="Q292" s="4" t="str">
        <x:v>445e9ecfeab646f3c08a43b2e9bdc5fcb89950f4</x:v>
      </x:c>
    </x:row>
    <x:row r="293" ht="86" customHeight="1">
      <x:c r="A293" s="15" t="str">
        <x:v>DP-036</x:v>
      </x:c>
      <x:c r="B293" s="19" t="str">
        <x:v>Pending</x:v>
      </x:c>
      <x:c r="C293" s="15" t="str">
        <x:v>P1</x:v>
      </x:c>
      <x:c r="D293" s="15" t="str">
        <x:v>DesignProject</x:v>
      </x:c>
      <x:c r="E293" s="15" t="str">
        <x:v>Checker negative test</x:v>
      </x:c>
      <x:c r="F293" s="15" t="str">
        <x:v>Detect empty flag early</x:v>
      </x:c>
      <x:c r="G293" s="15" t="str">
        <x:v>clk, rst, wr_en, rd_en, wr_data, rd_data, full, empty</x:v>
      </x:c>
      <x:c r="H293" s="15" t="str">
        <x:v>Write several words and drain to one remaining entry, then consume that final entry. Compile this fixture in isolation with the existing checker, separately from the good implementation.</x:v>
      </x:c>
      <x:c r="I293" s="15" t="str">
        <x:v>The checker reports the intended mismatch with a useful cycle/value diagnostic. This negative case is Done only when the injected defect is detected and the same stimulus passes against the good implementation. A broken DUT running without a complaint is a failed checker test.</x:v>
      </x:c>
      <x:c r="J293" s="17"/>
      <x:c r="K293" s="24"/>
      <x:c r="L293" s="17"/>
      <x:c r="M293" s="17" t="str">
        <x:v>Intentional fault fixture; never include it alongside the active DUT under the same module name.</x:v>
      </x:c>
      <x:c r="N293" s="15" t="str">
        <x:v>eda_playground/buggy_designs/design_issue4_empty_flag_early.sv</x:v>
      </x:c>
      <x:c r="O293" s="26" t="str">
        <x:v>https://github.com/kapiltrip/DesignProject/blob/445e9ecfeab646f3c08a43b2e9bdc5fcb89950f4/eda_playground/buggy_designs/design_issue4_empty_flag_early.sv</x:v>
      </x:c>
      <x:c r="P293" s="15" t="str">
        <x:f>IF(B293="Done",IF(OR(J293="",K293="",L293=""),"Add run evidence","Recorded"),IF(OR(B293="Blocked",B293="N/A"),IF(M293="","Add reason","Reason recorded"),""))</x:f>
      </x:c>
      <x:c r="Q293" s="15" t="str">
        <x:v>445e9ecfeab646f3c08a43b2e9bdc5fcb89950f4</x:v>
      </x:c>
    </x:row>
    <x:row r="294" ht="86" customHeight="1">
      <x:c r="A294" s="4" t="str">
        <x:v>DP-037</x:v>
      </x:c>
      <x:c r="B294" s="19" t="str">
        <x:v>Pending</x:v>
      </x:c>
      <x:c r="C294" s="4" t="str">
        <x:v>P1</x:v>
      </x:c>
      <x:c r="D294" s="4" t="str">
        <x:v>DesignProject</x:v>
      </x:c>
      <x:c r="E294" s="4" t="str">
        <x:v>Checker negative test</x:v>
      </x:c>
      <x:c r="F294" s="4" t="str">
        <x:v>Detect read pointer stuck</x:v>
      </x:c>
      <x:c r="G294" s="4" t="str">
        <x:v>clk, rst, wr_en, rd_en, wr_data, rd_data, full, empty</x:v>
      </x:c>
      <x:c r="H294" s="4" t="str">
        <x:v>Write three distinct words and perform three accepted reads; compare their order. Compile this fixture in isolation with the existing checker, separately from the good implementation.</x:v>
      </x:c>
      <x:c r="I294" s="4" t="str">
        <x:v>The checker reports the intended mismatch with a useful cycle/value diagnostic. This negative case is Done only when the injected defect is detected and the same stimulus passes against the good implementation. A broken DUT running without a complaint is a failed checker test.</x:v>
      </x:c>
      <x:c r="J294" s="17"/>
      <x:c r="K294" s="24"/>
      <x:c r="L294" s="17"/>
      <x:c r="M294" s="17" t="str">
        <x:v>Intentional fault fixture; never include it alongside the active DUT under the same module name.</x:v>
      </x:c>
      <x:c r="N294" s="4" t="str">
        <x:v>eda_playground/buggy_designs/design_issue5_read_pointer_stuck.sv</x:v>
      </x:c>
      <x:c r="O294" s="25" t="str">
        <x:v>https://github.com/kapiltrip/DesignProject/blob/445e9ecfeab646f3c08a43b2e9bdc5fcb89950f4/eda_playground/buggy_designs/design_issue5_read_pointer_stuck.sv</x:v>
      </x:c>
      <x:c r="P294" s="4" t="str">
        <x:f>IF(B294="Done",IF(OR(J294="",K294="",L294=""),"Add run evidence","Recorded"),IF(OR(B294="Blocked",B294="N/A"),IF(M294="","Add reason","Reason recorded"),""))</x:f>
      </x:c>
      <x:c r="Q294" s="4" t="str">
        <x:v>445e9ecfeab646f3c08a43b2e9bdc5fcb89950f4</x:v>
      </x:c>
    </x:row>
    <x:row r="295" ht="86" customHeight="1">
      <x:c r="A295" s="15" t="str">
        <x:v>RF-046</x:v>
      </x:c>
      <x:c r="B295" s="19" t="str">
        <x:v>Pending</x:v>
      </x:c>
      <x:c r="C295" s="15" t="str">
        <x:v>P2</x:v>
      </x:c>
      <x:c r="D295" s="15" t="str">
        <x:v>RamAndFifo</x:v>
      </x:c>
      <x:c r="E295" s="15" t="str">
        <x:v>Practice draft</x:v>
      </x:c>
      <x:c r="F295" s="15" t="str">
        <x:v>Compile and compare draft contract</x:v>
      </x:c>
      <x:c r="G295" s="15" t="str">
        <x:v>clk, we, din, raddr, waddr, dout</x:v>
      </x:c>
      <x:c r="H295" s="15" t="str">
        <x:v>Compile this draft alone with an explicit top. Compare its interface and behavior with the active design in the same repository; record missing declarations and output drivers.</x:v>
      </x:c>
      <x:c r="I295" s="15" t="str">
        <x:v>The draft must elaborate and meet an agreed contract before it can share active-design results. Do not include unfinished drafts in a wildcard compile.</x:v>
      </x:c>
      <x:c r="J295" s="17"/>
      <x:c r="K295" s="24"/>
      <x:c r="L295" s="17"/>
      <x:c r="M295" s="17" t="str">
        <x:v>Draft results are separate from active RTL.</x:v>
      </x:c>
      <x:c r="N295" s="15" t="str">
        <x:v>individual/ram/practice.v</x:v>
      </x:c>
      <x:c r="O295" s="26" t="str">
        <x:v>https://github.com/kapiltrip/RamAndFifo/blob/858ffb35bb31e70051ca25d6cb24e5aa5020bd41/individual/ram/practice.v</x:v>
      </x:c>
      <x:c r="P295" s="15" t="str">
        <x:f>IF(B295="Done",IF(OR(J295="",K295="",L295=""),"Add run evidence","Recorded"),IF(OR(B295="Blocked",B295="N/A"),IF(M295="","Add reason","Reason recorded"),""))</x:f>
      </x:c>
      <x:c r="Q295" s="15" t="str">
        <x:v>858ffb35bb31e70051ca25d6cb24e5aa5020bd41</x:v>
      </x:c>
    </x:row>
    <x:row r="296" ht="86" customHeight="1">
      <x:c r="A296" s="4" t="str">
        <x:v>DP-038</x:v>
      </x:c>
      <x:c r="B296" s="19" t="str">
        <x:v>Pending</x:v>
      </x:c>
      <x:c r="C296" s="4" t="str">
        <x:v>P1</x:v>
      </x:c>
      <x:c r="D296" s="4" t="str">
        <x:v>DesignProject</x:v>
      </x:c>
      <x:c r="E296" s="4" t="str">
        <x:v>Sequential logic</x:v>
      </x:c>
      <x:c r="F296" s="4" t="str">
        <x:v>Reset, control priority and cycle behavior</x:v>
      </x:c>
      <x:c r="G296" s="4" t="str">
        <x:v>clk, we, waddr, raddr, din, dout, rst, wr_en, rd_en, wr_data, rd_data, full, empty</x:v>
      </x:c>
      <x:c r="H296" s="4" t="str">
        <x:v>For sync_ram, sync_fifo, sync_fifo_ram, initialize through its reset/load path, then vary we, waddr, raddr, din before active edges. Cover each control combination, holds, boundary transitions and reset during activity. Clock/reset events in this source: posedge clk.</x:v>
      </x:c>
      <x:c r="I296" s="4" t="str">
        <x:v>Check dout only at its defined valid time. Compare a cycle-by-cycle reference state/sequence, including reset polarity and priority. Sample registered results after nonblocking updates; combinational Mealy outputs may require a pre-edge check.</x:v>
      </x:c>
      <x:c r="J296" s="17"/>
      <x:c r="K296" s="24"/>
      <x:c r="L296" s="17"/>
      <x:c r="M296" s="17"/>
      <x:c r="N296" s="4" t="str">
        <x:v>eda_playground/design.sv</x:v>
      </x:c>
      <x:c r="O296" s="25" t="str">
        <x:v>https://github.com/kapiltrip/DesignProject/blob/445e9ecfeab646f3c08a43b2e9bdc5fcb89950f4/eda_playground/design.sv</x:v>
      </x:c>
      <x:c r="P296" s="4" t="str">
        <x:f>IF(B296="Done",IF(OR(J296="",K296="",L296=""),"Add run evidence","Recorded"),IF(OR(B296="Blocked",B296="N/A"),IF(M296="","Add reason","Reason recorded"),""))</x:f>
      </x:c>
      <x:c r="Q296" s="4" t="str">
        <x:v>445e9ecfeab646f3c08a43b2e9bdc5fcb89950f4</x:v>
      </x:c>
    </x:row>
    <x:row r="297" ht="86" customHeight="1">
      <x:c r="A297" s="15" t="str">
        <x:v>LAB-005</x:v>
      </x:c>
      <x:c r="B297" s="19" t="str">
        <x:v>Pending</x:v>
      </x:c>
      <x:c r="C297" s="15" t="str">
        <x:v>P1</x:v>
      </x:c>
      <x:c r="D297" s="15" t="str">
        <x:v>VerificationLab</x:v>
      </x:c>
      <x:c r="E297" s="15" t="str">
        <x:v>Multiplexer</x:v>
      </x:c>
      <x:c r="F297" s="15" t="str">
        <x:v>Every select and unselected-input isolation</x:v>
      </x:c>
      <x:c r="G297" s="15" t="str">
        <x:v>d, sel, y</x:v>
      </x:c>
      <x:c r="H297" s="15" t="str">
        <x:v>Sweep sel through all encodings; set data inputs to distinguishable patterns, then toggle only unselected inputs.</x:v>
      </x:c>
      <x:c r="I297" s="15" t="str">
        <x:v>y equals the selected input. Exercise selected values 0 and 1 and vector extremes. Unselected changes do not affect the result; verify the default mapping for unused encodings.</x:v>
      </x:c>
      <x:c r="J297" s="17"/>
      <x:c r="K297" s="24"/>
      <x:c r="L297" s="17"/>
      <x:c r="M297" s="17"/>
      <x:c r="N297" s="15" t="str">
        <x:v>exp1/exp1_mux4to1.sv</x:v>
      </x:c>
      <x:c r="O297" s="26" t="str">
        <x:v>https://github.com/kapiltrip/VerificationLab/blob/0c649a2cbbeef29a88717dda465b6cf958a1bc15/exp1/exp1_mux4to1.sv</x:v>
      </x:c>
      <x:c r="P297" s="15" t="str">
        <x:f>IF(B297="Done",IF(OR(J297="",K297="",L297=""),"Add run evidence","Recorded"),IF(OR(B297="Blocked",B297="N/A"),IF(M297="","Add reason","Reason recorded"),""))</x:f>
      </x:c>
      <x:c r="Q297" s="15" t="str">
        <x:v>0c649a2cbbeef29a88717dda465b6cf958a1bc15</x:v>
      </x:c>
    </x:row>
    <x:row r="298" ht="86" customHeight="1">
      <x:c r="A298" s="4" t="str">
        <x:v>LAB-006</x:v>
      </x:c>
      <x:c r="B298" s="19" t="str">
        <x:v>Pending</x:v>
      </x:c>
      <x:c r="C298" s="4" t="str">
        <x:v>P1</x:v>
      </x:c>
      <x:c r="D298" s="4" t="str">
        <x:v>VerificationLab</x:v>
      </x:c>
      <x:c r="E298" s="4" t="str">
        <x:v>Arithmetic</x:v>
      </x:c>
      <x:c r="F298" s="4" t="str">
        <x:v>Arithmetic, carry/borrow and width</x:v>
      </x:c>
      <x:c r="G298" s="4" t="str">
        <x:v>a, b, cin, sum, cout</x:v>
      </x:c>
      <x:c r="H298" s="4" t="str">
        <x:v>Exercise a, b, cin at zero, one, maximum, alternating patterns and long carry/borrow chains. Exhaust all combinations for small widths; include both carry-in/subtract settings when present.</x:v>
      </x:c>
      <x:c r="I298" s="4" t="str">
        <x:v>Compute the integer arithmetic independently, then apply the declared result width. Check every sum, cout bit including carry, borrow or signed overflow where exposed. Carry-out and signed overflow are different. </x:v>
      </x:c>
      <x:c r="J298" s="17"/>
      <x:c r="K298" s="24"/>
      <x:c r="L298" s="17"/>
      <x:c r="M298" s="17"/>
      <x:c r="N298" s="4" t="str">
        <x:v>exp2/exp2_full_adder.sv</x:v>
      </x:c>
      <x:c r="O298" s="25" t="str">
        <x:v>https://github.com/kapiltrip/VerificationLab/blob/0c649a2cbbeef29a88717dda465b6cf958a1bc15/exp2/exp2_full_adder.sv</x:v>
      </x:c>
      <x:c r="P298" s="4" t="str">
        <x:f>IF(B298="Done",IF(OR(J298="",K298="",L298=""),"Add run evidence","Recorded"),IF(OR(B298="Blocked",B298="N/A"),IF(M298="","Add reason","Reason recorded"),""))</x:f>
      </x:c>
      <x:c r="Q298" s="4" t="str">
        <x:v>0c649a2cbbeef29a88717dda465b6cf958a1bc15</x:v>
      </x:c>
    </x:row>
    <x:row r="299" ht="86" customHeight="1">
      <x:c r="A299" s="15" t="str">
        <x:v>LAB-007</x:v>
      </x:c>
      <x:c r="B299" s="19" t="str">
        <x:v>Pending</x:v>
      </x:c>
      <x:c r="C299" s="15" t="str">
        <x:v>P1</x:v>
      </x:c>
      <x:c r="D299" s="15" t="str">
        <x:v>VerificationLab</x:v>
      </x:c>
      <x:c r="E299" s="15" t="str">
        <x:v>Arithmetic</x:v>
      </x:c>
      <x:c r="F299" s="15" t="str">
        <x:v>Arithmetic, carry/borrow and width</x:v>
      </x:c>
      <x:c r="G299" s="15" t="str">
        <x:v>a, b, cin, fault_en, fault_node, fault_stuck_val, sum, cout</x:v>
      </x:c>
      <x:c r="H299" s="15" t="str">
        <x:v>Exercise a, b, cin, fault_en, fault_node, fault_stuck_val at zero, one, maximum, alternating patterns and long carry/borrow chains. Exhaust all combinations for small widths; include both carry-in/subtract settings when present.</x:v>
      </x:c>
      <x:c r="I299" s="15" t="str">
        <x:v>Compute the integer arithmetic independently, then apply the declared result width. Check every sum, cout bit including carry, borrow or signed overflow where exposed. Carry-out and signed overflow are different. </x:v>
      </x:c>
      <x:c r="J299" s="17"/>
      <x:c r="K299" s="24"/>
      <x:c r="L299" s="17"/>
      <x:c r="M299" s="17"/>
      <x:c r="N299" s="15" t="str">
        <x:v>exp2/exp2_full_adder_fault_inject.sv</x:v>
      </x:c>
      <x:c r="O299" s="26" t="str">
        <x:v>https://github.com/kapiltrip/VerificationLab/blob/0c649a2cbbeef29a88717dda465b6cf958a1bc15/exp2/exp2_full_adder_fault_inject.sv</x:v>
      </x:c>
      <x:c r="P299" s="15" t="str">
        <x:f>IF(B299="Done",IF(OR(J299="",K299="",L299=""),"Add run evidence","Recorded"),IF(OR(B299="Blocked",B299="N/A"),IF(M299="","Add reason","Reason recorded"),""))</x:f>
      </x:c>
      <x:c r="Q299" s="15" t="str">
        <x:v>0c649a2cbbeef29a88717dda465b6cf958a1bc15</x:v>
      </x:c>
    </x:row>
    <x:row r="300" ht="86" customHeight="1">
      <x:c r="A300" s="4" t="str">
        <x:v>LAB-008</x:v>
      </x:c>
      <x:c r="B300" s="19" t="str">
        <x:v>Pending</x:v>
      </x:c>
      <x:c r="C300" s="4" t="str">
        <x:v>P1</x:v>
      </x:c>
      <x:c r="D300" s="4" t="str">
        <x:v>VerificationLab</x:v>
      </x:c>
      <x:c r="E300" s="4" t="str">
        <x:v>Arithmetic</x:v>
      </x:c>
      <x:c r="F300" s="4" t="str">
        <x:v>Arithmetic, carry/borrow and width</x:v>
      </x:c>
      <x:c r="G300" s="4" t="str">
        <x:v>a, b, cin, sum, cout, fault_en, fault_node, stuck_val</x:v>
      </x:c>
      <x:c r="H300" s="4" t="str">
        <x:v>Exercise a, b, cin at zero, one, maximum, alternating patterns and long carry/borrow chains. Exhaust all combinations for small widths; include both carry-in/subtract settings when present.</x:v>
      </x:c>
      <x:c r="I300" s="4" t="str">
        <x:v>Compute the integer arithmetic independently, then apply the declared result width. Check every sum, cout bit including carry, borrow or signed overflow where exposed. Carry-out and signed overflow are different. </x:v>
      </x:c>
      <x:c r="J300" s="17"/>
      <x:c r="K300" s="24"/>
      <x:c r="L300" s="17"/>
      <x:c r="M300" s="17"/>
      <x:c r="N300" s="4" t="str">
        <x:v>exp2/exp2_simple_exam_version.sv</x:v>
      </x:c>
      <x:c r="O300" s="25" t="str">
        <x:v>https://github.com/kapiltrip/VerificationLab/blob/0c649a2cbbeef29a88717dda465b6cf958a1bc15/exp2/exp2_simple_exam_version.sv</x:v>
      </x:c>
      <x:c r="P300" s="4" t="str">
        <x:f>IF(B300="Done",IF(OR(J300="",K300="",L300=""),"Add run evidence","Recorded"),IF(OR(B300="Blocked",B300="N/A"),IF(M300="","Add reason","Reason recorded"),""))</x:f>
      </x:c>
      <x:c r="Q300" s="4" t="str">
        <x:v>0c649a2cbbeef29a88717dda465b6cf958a1bc15</x:v>
      </x:c>
    </x:row>
    <x:row r="301" ht="86" customHeight="1">
      <x:c r="A301" s="15" t="str">
        <x:v>LAB-009</x:v>
      </x:c>
      <x:c r="B301" s="19" t="str">
        <x:v>Pending</x:v>
      </x:c>
      <x:c r="C301" s="15" t="str">
        <x:v>P1</x:v>
      </x:c>
      <x:c r="D301" s="15" t="str">
        <x:v>VerificationLab</x:v>
      </x:c>
      <x:c r="E301" s="15" t="str">
        <x:v>Combinational logic</x:v>
      </x:c>
      <x:c r="F301" s="15" t="str">
        <x:v>Input combinations and output mapping</x:v>
      </x:c>
      <x:c r="G301" s="15" t="str">
        <x:v>a, b, fault_en, fault_id, stuck_val, y</x:v>
      </x:c>
      <x:c r="H301" s="15" t="str">
        <x:v>Drive a, b, fault_en, fault_id, stuck_val through binary combinations when small; for vectors use zero, all ones, alternating bits and walking one/zero. Toggle one input at a time and include rapid changes after a previous nonzero result.</x:v>
      </x:c>
      <x:c r="I301" s="15" t="str">
        <x:v>Check y against an independently written truth table. Combinational results must settle without a clock or stale retained values.</x:v>
      </x:c>
      <x:c r="J301" s="17"/>
      <x:c r="K301" s="24"/>
      <x:c r="L301" s="17"/>
      <x:c r="M301" s="17"/>
      <x:c r="N301" s="15" t="str">
        <x:v>exp3/exp3_simple_exam_version.sv</x:v>
      </x:c>
      <x:c r="O301" s="26" t="str">
        <x:v>https://github.com/kapiltrip/VerificationLab/blob/0c649a2cbbeef29a88717dda465b6cf958a1bc15/exp3/exp3_simple_exam_version.sv</x:v>
      </x:c>
      <x:c r="P301" s="15" t="str">
        <x:f>IF(B301="Done",IF(OR(J301="",K301="",L301=""),"Add run evidence","Recorded"),IF(OR(B301="Blocked",B301="N/A"),IF(M301="","Add reason","Reason recorded"),""))</x:f>
      </x:c>
      <x:c r="Q301" s="15" t="str">
        <x:v>0c649a2cbbeef29a88717dda465b6cf958a1bc15</x:v>
      </x:c>
    </x:row>
    <x:row r="302" ht="86" customHeight="1">
      <x:c r="A302" s="4" t="str">
        <x:v>LAB-010</x:v>
      </x:c>
      <x:c r="B302" s="19" t="str">
        <x:v>Pending</x:v>
      </x:c>
      <x:c r="C302" s="4" t="str">
        <x:v>P1</x:v>
      </x:c>
      <x:c r="D302" s="4" t="str">
        <x:v>VerificationLab</x:v>
      </x:c>
      <x:c r="E302" s="4" t="str">
        <x:v>Combinational logic</x:v>
      </x:c>
      <x:c r="F302" s="4" t="str">
        <x:v>Input combinations and output mapping</x:v>
      </x:c>
      <x:c r="G302" s="4" t="str">
        <x:v>a, b, fault_en, fault_id, fault_stuck_val, y</x:v>
      </x:c>
      <x:c r="H302" s="4" t="str">
        <x:v>Drive a, b, fault_en, fault_id, fault_stuck_val through binary combinations when small; for vectors use zero, all ones, alternating bits and walking one/zero. Toggle one input at a time and include rapid changes after a previous nonzero result.</x:v>
      </x:c>
      <x:c r="I302" s="4" t="str">
        <x:v>Check y against an independently written truth table. Combinational results must settle without a clock or stale retained values.</x:v>
      </x:c>
      <x:c r="J302" s="17"/>
      <x:c r="K302" s="24"/>
      <x:c r="L302" s="17"/>
      <x:c r="M302" s="17"/>
      <x:c r="N302" s="4" t="str">
        <x:v>exp3/exp3_xor_fault_equiv.sv</x:v>
      </x:c>
      <x:c r="O302" s="25" t="str">
        <x:v>https://github.com/kapiltrip/VerificationLab/blob/0c649a2cbbeef29a88717dda465b6cf958a1bc15/exp3/exp3_xor_fault_equiv.sv</x:v>
      </x:c>
      <x:c r="P302" s="4" t="str">
        <x:f>IF(B302="Done",IF(OR(J302="",K302="",L302=""),"Add run evidence","Recorded"),IF(OR(B302="Blocked",B302="N/A"),IF(M302="","Add reason","Reason recorded"),""))</x:f>
      </x:c>
      <x:c r="Q302" s="4" t="str">
        <x:v>0c649a2cbbeef29a88717dda465b6cf958a1bc15</x:v>
      </x:c>
    </x:row>
    <x:row r="303" ht="86" customHeight="1">
      <x:c r="A303" s="15" t="str">
        <x:v>LAB-011</x:v>
      </x:c>
      <x:c r="B303" s="19" t="str">
        <x:v>Pending</x:v>
      </x:c>
      <x:c r="C303" s="15" t="str">
        <x:v>P1</x:v>
      </x:c>
      <x:c r="D303" s="15" t="str">
        <x:v>VerificationLab</x:v>
      </x:c>
      <x:c r="E303" s="15" t="str">
        <x:v>Arithmetic</x:v>
      </x:c>
      <x:c r="F303" s="15" t="str">
        <x:v>Arithmetic, carry/borrow and width</x:v>
      </x:c>
      <x:c r="G303" s="15" t="str">
        <x:v>a, b, cin, sum, cout</x:v>
      </x:c>
      <x:c r="H303" s="15" t="str">
        <x:v>Exercise a, b, cin at zero, one, maximum, alternating patterns and long carry/borrow chains. Exhaust all combinations for small widths; include both carry-in/subtract settings when present.</x:v>
      </x:c>
      <x:c r="I303" s="15" t="str">
        <x:v>Compute the integer arithmetic independently, then apply the declared result width. Check every sum, cout bit including carry, borrow or signed overflow where exposed. Carry-out and signed overflow are different.  Source mapping: sum[0] = p[0] ^ cin; sum[1] = p[1] ^ c1; sum[2] = p[2] ^ c2; sum[3] = p[3] ^ c3; cout = c4.</x:v>
      </x:c>
      <x:c r="J303" s="17"/>
      <x:c r="K303" s="24"/>
      <x:c r="L303" s="17"/>
      <x:c r="M303" s="17"/>
      <x:c r="N303" s="15" t="str">
        <x:v>exp4/exp4_cla4.sv</x:v>
      </x:c>
      <x:c r="O303" s="26" t="str">
        <x:v>https://github.com/kapiltrip/VerificationLab/blob/0c649a2cbbeef29a88717dda465b6cf958a1bc15/exp4/exp4_cla4.sv</x:v>
      </x:c>
      <x:c r="P303" s="15" t="str">
        <x:f>IF(B303="Done",IF(OR(J303="",K303="",L303=""),"Add run evidence","Recorded"),IF(OR(B303="Blocked",B303="N/A"),IF(M303="","Add reason","Reason recorded"),""))</x:f>
      </x:c>
      <x:c r="Q303" s="15" t="str">
        <x:v>0c649a2cbbeef29a88717dda465b6cf958a1bc15</x:v>
      </x:c>
    </x:row>
    <x:row r="304" ht="86" customHeight="1">
      <x:c r="A304" s="4" t="str">
        <x:v>LAB-012</x:v>
      </x:c>
      <x:c r="B304" s="19" t="str">
        <x:v>Pending</x:v>
      </x:c>
      <x:c r="C304" s="4" t="str">
        <x:v>P1</x:v>
      </x:c>
      <x:c r="D304" s="4" t="str">
        <x:v>VerificationLab</x:v>
      </x:c>
      <x:c r="E304" s="4" t="str">
        <x:v>Sequence detector</x:v>
      </x:c>
      <x:c r="F304" s="4" t="str">
        <x:v>1001 matches, overlaps and near misses</x:v>
      </x:c>
      <x:c r="G304" s="4" t="str">
        <x:v>clk, rst_n, din, dout</x:v>
      </x:c>
      <x:c r="H304" s="4" t="str">
        <x:v>Drive 1001, near misses, repeated matches and an overlapping stream (1001001), one bit per clock using clk, rst_n, din. Reset midway through a prefix.</x:v>
      </x:c>
      <x:c r="I304" s="4" t="str">
        <x:v>Check dout at each match ending. Overlap variants retain a matching suffix; nonoverlap variants discard it. Use the actual combinational/registered output timing in each module, not the name Mealy/Moore alone.</x:v>
      </x:c>
      <x:c r="J304" s="17"/>
      <x:c r="K304" s="24"/>
      <x:c r="L304" s="17"/>
      <x:c r="M304" s="17"/>
      <x:c r="N304" s="4" t="str">
        <x:v>exp5/exp5_seq_det_1001_nonoverlap.sv</x:v>
      </x:c>
      <x:c r="O304" s="25" t="str">
        <x:v>https://github.com/kapiltrip/VerificationLab/blob/0c649a2cbbeef29a88717dda465b6cf958a1bc15/exp5/exp5_seq_det_1001_nonoverlap.sv</x:v>
      </x:c>
      <x:c r="P304" s="4" t="str">
        <x:f>IF(B304="Done",IF(OR(J304="",K304="",L304=""),"Add run evidence","Recorded"),IF(OR(B304="Blocked",B304="N/A"),IF(M304="","Add reason","Reason recorded"),""))</x:f>
      </x:c>
      <x:c r="Q304" s="4" t="str">
        <x:v>0c649a2cbbeef29a88717dda465b6cf958a1bc15</x:v>
      </x:c>
    </x:row>
    <x:row r="305" ht="86" customHeight="1">
      <x:c r="A305" s="15" t="str">
        <x:v>LAB-013</x:v>
      </x:c>
      <x:c r="B305" s="19" t="str">
        <x:v>Pending</x:v>
      </x:c>
      <x:c r="C305" s="15" t="str">
        <x:v>P1</x:v>
      </x:c>
      <x:c r="D305" s="15" t="str">
        <x:v>VerificationLab</x:v>
      </x:c>
      <x:c r="E305" s="15" t="str">
        <x:v>Sequence detector</x:v>
      </x:c>
      <x:c r="F305" s="15" t="str">
        <x:v>1001 matches, overlaps and near misses</x:v>
      </x:c>
      <x:c r="G305" s="15" t="str">
        <x:v>clk, rst_n, din, dout</x:v>
      </x:c>
      <x:c r="H305" s="15" t="str">
        <x:v>Drive 1001, near misses, repeated matches and an overlapping stream (1001001), one bit per clock using clk, rst_n, din. Reset midway through a prefix.</x:v>
      </x:c>
      <x:c r="I305" s="15" t="str">
        <x:v>Check dout at each match ending. Overlap variants retain a matching suffix; nonoverlap variants discard it. Use the actual combinational/registered output timing in each module, not the name Mealy/Moore alone.</x:v>
      </x:c>
      <x:c r="J305" s="17"/>
      <x:c r="K305" s="24"/>
      <x:c r="L305" s="17"/>
      <x:c r="M305" s="17"/>
      <x:c r="N305" s="15" t="str">
        <x:v>exp5/exp5_seq_det_1001_overlap.sv</x:v>
      </x:c>
      <x:c r="O305" s="26" t="str">
        <x:v>https://github.com/kapiltrip/VerificationLab/blob/0c649a2cbbeef29a88717dda465b6cf958a1bc15/exp5/exp5_seq_det_1001_overlap.sv</x:v>
      </x:c>
      <x:c r="P305" s="15" t="str">
        <x:f>IF(B305="Done",IF(OR(J305="",K305="",L305=""),"Add run evidence","Recorded"),IF(OR(B305="Blocked",B305="N/A"),IF(M305="","Add reason","Reason recorded"),""))</x:f>
      </x:c>
      <x:c r="Q305" s="15" t="str">
        <x:v>0c649a2cbbeef29a88717dda465b6cf958a1bc15</x:v>
      </x:c>
    </x:row>
    <x:row r="306" ht="86" customHeight="1">
      <x:c r="A306" s="4" t="str">
        <x:v>LAB-014</x:v>
      </x:c>
      <x:c r="B306" s="19" t="str">
        <x:v>Pending</x:v>
      </x:c>
      <x:c r="C306" s="4" t="str">
        <x:v>P1</x:v>
      </x:c>
      <x:c r="D306" s="4" t="str">
        <x:v>VerificationLab</x:v>
      </x:c>
      <x:c r="E306" s="4" t="str">
        <x:v>Sequence detector</x:v>
      </x:c>
      <x:c r="F306" s="4" t="str">
        <x:v>1001 matches, overlaps and near misses</x:v>
      </x:c>
      <x:c r="G306" s="4" t="str">
        <x:v>clk, rst_n, din, dout</x:v>
      </x:c>
      <x:c r="H306" s="4" t="str">
        <x:v>Drive 1001, near misses, repeated matches and an overlapping stream (1001001), one bit per clock using clk, rst_n, din. Reset midway through a prefix.</x:v>
      </x:c>
      <x:c r="I306" s="4" t="str">
        <x:v>Check dout at each match ending. Overlap variants retain a matching suffix; nonoverlap variants discard it. Use the actual combinational/registered output timing in each module, not the name Mealy/Moore alone.</x:v>
      </x:c>
      <x:c r="J306" s="17"/>
      <x:c r="K306" s="24"/>
      <x:c r="L306" s="17"/>
      <x:c r="M306" s="17"/>
      <x:c r="N306" s="4" t="str">
        <x:v>exp6/exp6_seq_det_1001_nonoverlap.sv</x:v>
      </x:c>
      <x:c r="O306" s="25" t="str">
        <x:v>https://github.com/kapiltrip/VerificationLab/blob/0c649a2cbbeef29a88717dda465b6cf958a1bc15/exp6/exp6_seq_det_1001_nonoverlap.sv</x:v>
      </x:c>
      <x:c r="P306" s="4" t="str">
        <x:f>IF(B306="Done",IF(OR(J306="",K306="",L306=""),"Add run evidence","Recorded"),IF(OR(B306="Blocked",B306="N/A"),IF(M306="","Add reason","Reason recorded"),""))</x:f>
      </x:c>
      <x:c r="Q306" s="4" t="str">
        <x:v>0c649a2cbbeef29a88717dda465b6cf958a1bc15</x:v>
      </x:c>
    </x:row>
    <x:row r="307" ht="86" customHeight="1">
      <x:c r="A307" s="15" t="str">
        <x:v>LAB-015</x:v>
      </x:c>
      <x:c r="B307" s="19" t="str">
        <x:v>Pending</x:v>
      </x:c>
      <x:c r="C307" s="15" t="str">
        <x:v>P1</x:v>
      </x:c>
      <x:c r="D307" s="15" t="str">
        <x:v>VerificationLab</x:v>
      </x:c>
      <x:c r="E307" s="15" t="str">
        <x:v>Sequence detector</x:v>
      </x:c>
      <x:c r="F307" s="15" t="str">
        <x:v>1001 matches, overlaps and near misses</x:v>
      </x:c>
      <x:c r="G307" s="15" t="str">
        <x:v>clk, rst_n, din, dout</x:v>
      </x:c>
      <x:c r="H307" s="15" t="str">
        <x:v>Drive 1001, near misses, repeated matches and an overlapping stream (1001001), one bit per clock using clk, rst_n, din. Reset midway through a prefix.</x:v>
      </x:c>
      <x:c r="I307" s="15" t="str">
        <x:v>Check dout at each match ending. Overlap variants retain a matching suffix; nonoverlap variants discard it. Use the actual combinational/registered output timing in each module, not the name Mealy/Moore alone.</x:v>
      </x:c>
      <x:c r="J307" s="17"/>
      <x:c r="K307" s="24"/>
      <x:c r="L307" s="17"/>
      <x:c r="M307" s="17"/>
      <x:c r="N307" s="15" t="str">
        <x:v>exp6/exp6_seq_det_1001_overlap.sv</x:v>
      </x:c>
      <x:c r="O307" s="26" t="str">
        <x:v>https://github.com/kapiltrip/VerificationLab/blob/0c649a2cbbeef29a88717dda465b6cf958a1bc15/exp6/exp6_seq_det_1001_overlap.sv</x:v>
      </x:c>
      <x:c r="P307" s="15" t="str">
        <x:f>IF(B307="Done",IF(OR(J307="",K307="",L307=""),"Add run evidence","Recorded"),IF(OR(B307="Blocked",B307="N/A"),IF(M307="","Add reason","Reason recorded"),""))</x:f>
      </x:c>
      <x:c r="Q307" s="15" t="str">
        <x:v>0c649a2cbbeef29a88717dda465b6cf958a1bc15</x:v>
      </x:c>
    </x:row>
    <x:row r="308" ht="86" customHeight="1">
      <x:c r="A308" s="4" t="str">
        <x:v>LAB-016</x:v>
      </x:c>
      <x:c r="B308" s="19" t="str">
        <x:v>Pending</x:v>
      </x:c>
      <x:c r="C308" s="4" t="str">
        <x:v>P1</x:v>
      </x:c>
      <x:c r="D308" s="4" t="str">
        <x:v>VerificationLab</x:v>
      </x:c>
      <x:c r="E308" s="4" t="str">
        <x:v>LFSR</x:v>
      </x:c>
      <x:c r="F308" s="4" t="str">
        <x:v>Seed, recurrence and repeat period</x:v>
      </x:c>
      <x:c r="G308" s="4" t="str">
        <x:v>clk, rst_n, en, q</x:v>
      </x:c>
      <x:c r="H308" s="4" t="str">
        <x:v>Reset/load the documented nonzero seed; record q for a complete small-width sequence and repeat after reset. Also test enable holds if present and the zero-seed behavior.</x:v>
      </x:c>
      <x:c r="I308" s="4" t="str">
        <x:v>The sequence follows the declared tap polynomial and shift direction. A claimed maximal n-bit LFSR visits 2^n-1 distinct nonzero states before repeating; measure the actual period rather than assuming it. Fibonacci and Galois forms need not be bit-for-bit identical.</x:v>
      </x:c>
      <x:c r="J308" s="17"/>
      <x:c r="K308" s="24"/>
      <x:c r="L308" s="17"/>
      <x:c r="M308" s="17"/>
      <x:c r="N308" s="4" t="str">
        <x:v>exp7/exp7_lfsr_parta_many_to_one.sv</x:v>
      </x:c>
      <x:c r="O308" s="25" t="str">
        <x:v>https://github.com/kapiltrip/VerificationLab/blob/0c649a2cbbeef29a88717dda465b6cf958a1bc15/exp7/exp7_lfsr_parta_many_to_one.sv</x:v>
      </x:c>
      <x:c r="P308" s="4" t="str">
        <x:f>IF(B308="Done",IF(OR(J308="",K308="",L308=""),"Add run evidence","Recorded"),IF(OR(B308="Blocked",B308="N/A"),IF(M308="","Add reason","Reason recorded"),""))</x:f>
      </x:c>
      <x:c r="Q308" s="4" t="str">
        <x:v>0c649a2cbbeef29a88717dda465b6cf958a1bc15</x:v>
      </x:c>
    </x:row>
    <x:row r="309" ht="86" customHeight="1">
      <x:c r="A309" s="15" t="str">
        <x:v>LAB-017</x:v>
      </x:c>
      <x:c r="B309" s="19" t="str">
        <x:v>Pending</x:v>
      </x:c>
      <x:c r="C309" s="15" t="str">
        <x:v>P1</x:v>
      </x:c>
      <x:c r="D309" s="15" t="str">
        <x:v>VerificationLab</x:v>
      </x:c>
      <x:c r="E309" s="15" t="str">
        <x:v>LFSR</x:v>
      </x:c>
      <x:c r="F309" s="15" t="str">
        <x:v>Seed, recurrence and repeat period</x:v>
      </x:c>
      <x:c r="G309" s="15" t="str">
        <x:v>clk, rst_n, en, q</x:v>
      </x:c>
      <x:c r="H309" s="15" t="str">
        <x:v>Reset/load the documented nonzero seed; record q for a complete small-width sequence and repeat after reset. Also test enable holds if present and the zero-seed behavior.</x:v>
      </x:c>
      <x:c r="I309" s="15" t="str">
        <x:v>The sequence follows the declared tap polynomial and shift direction. A claimed maximal n-bit LFSR visits 2^n-1 distinct nonzero states before repeating; measure the actual period rather than assuming it. Fibonacci and Galois forms need not be bit-for-bit identical.</x:v>
      </x:c>
      <x:c r="J309" s="17"/>
      <x:c r="K309" s="24"/>
      <x:c r="L309" s="17"/>
      <x:c r="M309" s="17"/>
      <x:c r="N309" s="15" t="str">
        <x:v>exp7/exp7_lfsr_partb_one_to_many.sv</x:v>
      </x:c>
      <x:c r="O309" s="26" t="str">
        <x:v>https://github.com/kapiltrip/VerificationLab/blob/0c649a2cbbeef29a88717dda465b6cf958a1bc15/exp7/exp7_lfsr_partb_one_to_many.sv</x:v>
      </x:c>
      <x:c r="P309" s="15" t="str">
        <x:f>IF(B309="Done",IF(OR(J309="",K309="",L309=""),"Add run evidence","Recorded"),IF(OR(B309="Blocked",B309="N/A"),IF(M309="","Add reason","Reason recorded"),""))</x:f>
      </x:c>
      <x:c r="Q309" s="15" t="str">
        <x:v>0c649a2cbbeef29a88717dda465b6cf958a1bc15</x:v>
      </x:c>
    </x:row>
    <x:row r="310" ht="86" customHeight="1">
      <x:c r="A310" s="4" t="str">
        <x:v>LAB-018</x:v>
      </x:c>
      <x:c r="B310" s="19" t="str">
        <x:v>Pending</x:v>
      </x:c>
      <x:c r="C310" s="4" t="str">
        <x:v>P1</x:v>
      </x:c>
      <x:c r="D310" s="4" t="str">
        <x:v>VerificationLab</x:v>
      </x:c>
      <x:c r="E310" s="4" t="str">
        <x:v>LFSR</x:v>
      </x:c>
      <x:c r="F310" s="4" t="str">
        <x:v>Seed, recurrence and repeat period</x:v>
      </x:c>
      <x:c r="G310" s="4" t="str">
        <x:v>clk, rst, q</x:v>
      </x:c>
      <x:c r="H310" s="4" t="str">
        <x:v>Reset/load the documented nonzero seed; record q for a complete small-width sequence and repeat after reset. Also test enable holds if present and the zero-seed behavior.</x:v>
      </x:c>
      <x:c r="I310" s="4" t="str">
        <x:v>The sequence follows the declared tap polynomial and shift direction. A claimed maximal n-bit LFSR visits 2^n-1 distinct nonzero states before repeating; measure the actual period rather than assuming it. Fibonacci and Galois forms need not be bit-for-bit identical.</x:v>
      </x:c>
      <x:c r="J310" s="17"/>
      <x:c r="K310" s="24"/>
      <x:c r="L310" s="17"/>
      <x:c r="M310" s="17"/>
      <x:c r="N310" s="4" t="str">
        <x:v>exp7/exp7_simple_exam_version.sv</x:v>
      </x:c>
      <x:c r="O310" s="25" t="str">
        <x:v>https://github.com/kapiltrip/VerificationLab/blob/0c649a2cbbeef29a88717dda465b6cf958a1bc15/exp7/exp7_simple_exam_version.sv</x:v>
      </x:c>
      <x:c r="P310" s="4" t="str">
        <x:f>IF(B310="Done",IF(OR(J310="",K310="",L310=""),"Add run evidence","Recorded"),IF(OR(B310="Blocked",B310="N/A"),IF(M310="","Add reason","Reason recorded"),""))</x:f>
      </x:c>
      <x:c r="Q310" s="4" t="str">
        <x:v>0c649a2cbbeef29a88717dda465b6cf958a1bc15</x:v>
      </x:c>
    </x:row>
    <x:row r="311" ht="86" customHeight="1">
      <x:c r="A311" s="15" t="str">
        <x:v>LAB-019</x:v>
      </x:c>
      <x:c r="B311" s="19" t="str">
        <x:v>Pending</x:v>
      </x:c>
      <x:c r="C311" s="15" t="str">
        <x:v>P1</x:v>
      </x:c>
      <x:c r="D311" s="15" t="str">
        <x:v>VerificationLab</x:v>
      </x:c>
      <x:c r="E311" s="15" t="str">
        <x:v>Combinational logic</x:v>
      </x:c>
      <x:c r="F311" s="15" t="str">
        <x:v>Input combinations and output mapping</x:v>
      </x:c>
      <x:c r="G311" s="15" t="str">
        <x:v>x, y</x:v>
      </x:c>
      <x:c r="H311" s="15" t="str">
        <x:v>Drive x through binary combinations when small; for vectors use zero, all ones, alternating bits and walking one/zero. Toggle one input at a time and include rapid changes after a previous nonzero result.</x:v>
      </x:c>
      <x:c r="I311" s="15" t="str">
        <x:v>Check y against an independently written truth table. Combinational results must settle without a clock or stale retained values. Source mapping: y[0] = (x[0] &amp; x[1]) | x[2]; y[1] = (x[1] ^ x[2]) &amp; x[3].</x:v>
      </x:c>
      <x:c r="J311" s="17"/>
      <x:c r="K311" s="24"/>
      <x:c r="L311" s="17"/>
      <x:c r="M311" s="17"/>
      <x:c r="N311" s="15" t="str">
        <x:v>exp9/exp9_cut_logic.sv</x:v>
      </x:c>
      <x:c r="O311" s="26" t="str">
        <x:v>https://github.com/kapiltrip/VerificationLab/blob/0c649a2cbbeef29a88717dda465b6cf958a1bc15/exp9/exp9_cut_logic.sv</x:v>
      </x:c>
      <x:c r="P311" s="15" t="str">
        <x:f>IF(B311="Done",IF(OR(J311="",K311="",L311=""),"Add run evidence","Recorded"),IF(OR(B311="Blocked",B311="N/A"),IF(M311="","Add reason","Reason recorded"),""))</x:f>
      </x:c>
      <x:c r="Q311" s="15" t="str">
        <x:v>0c649a2cbbeef29a88717dda465b6cf958a1bc15</x:v>
      </x:c>
    </x:row>
    <x:row r="312" ht="86" customHeight="1">
      <x:c r="A312" s="4" t="str">
        <x:v>LAB-020</x:v>
      </x:c>
      <x:c r="B312" s="19" t="str">
        <x:v>Pending</x:v>
      </x:c>
      <x:c r="C312" s="4" t="str">
        <x:v>P1</x:v>
      </x:c>
      <x:c r="D312" s="4" t="str">
        <x:v>VerificationLab</x:v>
      </x:c>
      <x:c r="E312" s="4" t="str">
        <x:v>LFSR</x:v>
      </x:c>
      <x:c r="F312" s="4" t="str">
        <x:v>Seed, recurrence and repeat period</x:v>
      </x:c>
      <x:c r="G312" s="4" t="str">
        <x:v>clk, rst_n, en, q</x:v>
      </x:c>
      <x:c r="H312" s="4" t="str">
        <x:v>Reset/load the documented nonzero seed; record q for a complete small-width sequence and repeat after reset. Also test enable holds if present and the zero-seed behavior.</x:v>
      </x:c>
      <x:c r="I312" s="4" t="str">
        <x:v>The sequence follows the declared tap polynomial and shift direction. A claimed maximal n-bit LFSR visits 2^n-1 distinct nonzero states before repeating; measure the actual period rather than assuming it. Fibonacci and Galois forms need not be bit-for-bit identical.</x:v>
      </x:c>
      <x:c r="J312" s="17"/>
      <x:c r="K312" s="24"/>
      <x:c r="L312" s="17"/>
      <x:c r="M312" s="17"/>
      <x:c r="N312" s="4" t="str">
        <x:v>exp9/exp9_lfsr4.sv</x:v>
      </x:c>
      <x:c r="O312" s="25" t="str">
        <x:v>https://github.com/kapiltrip/VerificationLab/blob/0c649a2cbbeef29a88717dda465b6cf958a1bc15/exp9/exp9_lfsr4.sv</x:v>
      </x:c>
      <x:c r="P312" s="4" t="str">
        <x:f>IF(B312="Done",IF(OR(J312="",K312="",L312=""),"Add run evidence","Recorded"),IF(OR(B312="Blocked",B312="N/A"),IF(M312="","Add reason","Reason recorded"),""))</x:f>
      </x:c>
      <x:c r="Q312" s="4" t="str">
        <x:v>0c649a2cbbeef29a88717dda465b6cf958a1bc15</x:v>
      </x:c>
    </x:row>
    <x:row r="313" ht="86" customHeight="1">
      <x:c r="A313" s="15" t="str">
        <x:v>LAB-021</x:v>
      </x:c>
      <x:c r="B313" s="19" t="str">
        <x:v>Pending</x:v>
      </x:c>
      <x:c r="C313" s="15" t="str">
        <x:v>P1</x:v>
      </x:c>
      <x:c r="D313" s="15" t="str">
        <x:v>VerificationLab</x:v>
      </x:c>
      <x:c r="E313" s="15" t="str">
        <x:v>LFSR</x:v>
      </x:c>
      <x:c r="F313" s="15" t="str">
        <x:v>Seed, recurrence and repeat period</x:v>
      </x:c>
      <x:c r="G313" s="15" t="str">
        <x:v>clk, rst_n, en, q</x:v>
      </x:c>
      <x:c r="H313" s="15" t="str">
        <x:v>Reset/load the documented nonzero seed; record q for a complete small-width sequence and repeat after reset. Also test enable holds if present and the zero-seed behavior.</x:v>
      </x:c>
      <x:c r="I313" s="15" t="str">
        <x:v>The sequence follows the declared tap polynomial and shift direction. A claimed maximal n-bit LFSR visits 2^n-1 distinct nonzero states before repeating; measure the actual period rather than assuming it. Fibonacci and Galois forms need not be bit-for-bit identical.</x:v>
      </x:c>
      <x:c r="J313" s="17"/>
      <x:c r="K313" s="24"/>
      <x:c r="L313" s="17"/>
      <x:c r="M313" s="17"/>
      <x:c r="N313" s="15" t="str">
        <x:v>exp9/exp9_lfsr8.sv</x:v>
      </x:c>
      <x:c r="O313" s="26" t="str">
        <x:v>https://github.com/kapiltrip/VerificationLab/blob/0c649a2cbbeef29a88717dda465b6cf958a1bc15/exp9/exp9_lfsr8.sv</x:v>
      </x:c>
      <x:c r="P313" s="15" t="str">
        <x:f>IF(B313="Done",IF(OR(J313="",K313="",L313=""),"Add run evidence","Recorded"),IF(OR(B313="Blocked",B313="N/A"),IF(M313="","Add reason","Reason recorded"),""))</x:f>
      </x:c>
      <x:c r="Q313" s="15" t="str">
        <x:v>0c649a2cbbeef29a88717dda465b6cf958a1bc15</x:v>
      </x:c>
    </x:row>
    <x:row r="314" ht="86" customHeight="1">
      <x:c r="A314" s="4" t="str">
        <x:v>LAB-022</x:v>
      </x:c>
      <x:c r="B314" s="19" t="str">
        <x:v>Pending</x:v>
      </x:c>
      <x:c r="C314" s="4" t="str">
        <x:v>P1</x:v>
      </x:c>
      <x:c r="D314" s="4" t="str">
        <x:v>VerificationLab</x:v>
      </x:c>
      <x:c r="E314" s="4" t="str">
        <x:v>Multiplexer</x:v>
      </x:c>
      <x:c r="F314" s="4" t="str">
        <x:v>Every select and unselected-input isolation</x:v>
      </x:c>
      <x:c r="G314" s="4" t="str">
        <x:v>d, sel, y</x:v>
      </x:c>
      <x:c r="H314" s="4" t="str">
        <x:v>Sweep sel through all encodings; set data inputs to distinguishable patterns, then toggle only unselected inputs.</x:v>
      </x:c>
      <x:c r="I314" s="4" t="str">
        <x:v>y equals the selected input. Exercise selected values 0 and 1 and vector extremes. Unselected changes do not affect the result; verify the default mapping for unused encodings.</x:v>
      </x:c>
      <x:c r="J314" s="17"/>
      <x:c r="K314" s="24"/>
      <x:c r="L314" s="17"/>
      <x:c r="M314" s="17"/>
      <x:c r="N314" s="4" t="str">
        <x:v>q1_mux4/mux4to1.sv</x:v>
      </x:c>
      <x:c r="O314" s="25" t="str">
        <x:v>https://github.com/kapiltrip/VerificationLab/blob/0c649a2cbbeef29a88717dda465b6cf958a1bc15/q1_mux4/mux4to1.sv</x:v>
      </x:c>
      <x:c r="P314" s="4" t="str">
        <x:f>IF(B314="Done",IF(OR(J314="",K314="",L314=""),"Add run evidence","Recorded"),IF(OR(B314="Blocked",B314="N/A"),IF(M314="","Add reason","Reason recorded"),""))</x:f>
      </x:c>
      <x:c r="Q314" s="4" t="str">
        <x:v>0c649a2cbbeef29a88717dda465b6cf958a1bc15</x:v>
      </x:c>
    </x:row>
    <x:row r="315" ht="86" customHeight="1">
      <x:c r="A315" s="15" t="str">
        <x:v>LAB-023</x:v>
      </x:c>
      <x:c r="B315" s="19" t="str">
        <x:v>Pending</x:v>
      </x:c>
      <x:c r="C315" s="15" t="str">
        <x:v>P1</x:v>
      </x:c>
      <x:c r="D315" s="15" t="str">
        <x:v>VerificationLab</x:v>
      </x:c>
      <x:c r="E315" s="15" t="str">
        <x:v>Arithmetic</x:v>
      </x:c>
      <x:c r="F315" s="15" t="str">
        <x:v>Arithmetic, carry/borrow and width</x:v>
      </x:c>
      <x:c r="G315" s="15" t="str">
        <x:v>a, b, cin, sum, cout</x:v>
      </x:c>
      <x:c r="H315" s="15" t="str">
        <x:v>Exercise a, b, cin at zero, one, maximum, alternating patterns and long carry/borrow chains. Exhaust all combinations for small widths; include both carry-in/subtract settings when present.</x:v>
      </x:c>
      <x:c r="I315" s="15" t="str">
        <x:v>Compute the integer arithmetic independently, then apply the declared result width. Check every sum, cout bit including carry, borrow or signed overflow where exposed. Carry-out and signed overflow are different. </x:v>
      </x:c>
      <x:c r="J315" s="17"/>
      <x:c r="K315" s="24"/>
      <x:c r="L315" s="17"/>
      <x:c r="M315" s="17"/>
      <x:c r="N315" s="15" t="str">
        <x:v>q2_full_adder/full_adder.sv</x:v>
      </x:c>
      <x:c r="O315" s="26" t="str">
        <x:v>https://github.com/kapiltrip/VerificationLab/blob/0c649a2cbbeef29a88717dda465b6cf958a1bc15/q2_full_adder/full_adder.sv</x:v>
      </x:c>
      <x:c r="P315" s="15" t="str">
        <x:f>IF(B315="Done",IF(OR(J315="",K315="",L315=""),"Add run evidence","Recorded"),IF(OR(B315="Blocked",B315="N/A"),IF(M315="","Add reason","Reason recorded"),""))</x:f>
      </x:c>
      <x:c r="Q315" s="15" t="str">
        <x:v>0c649a2cbbeef29a88717dda465b6cf958a1bc15</x:v>
      </x:c>
    </x:row>
    <x:row r="316" ht="86" customHeight="1">
      <x:c r="A316" s="4" t="str">
        <x:v>LAB-024</x:v>
      </x:c>
      <x:c r="B316" s="19" t="str">
        <x:v>Pending</x:v>
      </x:c>
      <x:c r="C316" s="4" t="str">
        <x:v>P1</x:v>
      </x:c>
      <x:c r="D316" s="4" t="str">
        <x:v>VerificationLab</x:v>
      </x:c>
      <x:c r="E316" s="4" t="str">
        <x:v>Arithmetic</x:v>
      </x:c>
      <x:c r="F316" s="4" t="str">
        <x:v>Arithmetic, carry/borrow and width</x:v>
      </x:c>
      <x:c r="G316" s="4" t="str">
        <x:v>a, b, cin, sum, cout</x:v>
      </x:c>
      <x:c r="H316" s="4" t="str">
        <x:v>Exercise a, b, cin at zero, one, maximum, alternating patterns and long carry/borrow chains. Exhaust all combinations for small widths; include both carry-in/subtract settings when present.</x:v>
      </x:c>
      <x:c r="I316" s="4" t="str">
        <x:v>Compute the integer arithmetic independently, then apply the declared result width. Check every sum, cout bit including carry, borrow or signed overflow where exposed. Carry-out and signed overflow are different.  Source mapping: sum[0] = p[0] ^ cin; sum[1] = p[1] ^ c1; sum[2] = p[2] ^ c2; sum[3] = p[3] ^ c3; cout = c4.</x:v>
      </x:c>
      <x:c r="J316" s="17"/>
      <x:c r="K316" s="24"/>
      <x:c r="L316" s="17"/>
      <x:c r="M316" s="17"/>
      <x:c r="N316" s="4" t="str">
        <x:v>q3_cla4/cla4.sv</x:v>
      </x:c>
      <x:c r="O316" s="25" t="str">
        <x:v>https://github.com/kapiltrip/VerificationLab/blob/0c649a2cbbeef29a88717dda465b6cf958a1bc15/q3_cla4/cla4.sv</x:v>
      </x:c>
      <x:c r="P316" s="4" t="str">
        <x:f>IF(B316="Done",IF(OR(J316="",K316="",L316=""),"Add run evidence","Recorded"),IF(OR(B316="Blocked",B316="N/A"),IF(M316="","Add reason","Reason recorded"),""))</x:f>
      </x:c>
      <x:c r="Q316" s="4" t="str">
        <x:v>0c649a2cbbeef29a88717dda465b6cf958a1bc15</x:v>
      </x:c>
    </x:row>
    <x:row r="317" ht="86" customHeight="1">
      <x:c r="A317" s="15" t="str">
        <x:v>LAB-025</x:v>
      </x:c>
      <x:c r="B317" s="19" t="str">
        <x:v>Pending</x:v>
      </x:c>
      <x:c r="C317" s="15" t="str">
        <x:v>P1</x:v>
      </x:c>
      <x:c r="D317" s="15" t="str">
        <x:v>VerificationLab</x:v>
      </x:c>
      <x:c r="E317" s="15" t="str">
        <x:v>Sequence detector</x:v>
      </x:c>
      <x:c r="F317" s="15" t="str">
        <x:v>1001 matches, overlaps and near misses</x:v>
      </x:c>
      <x:c r="G317" s="15" t="str">
        <x:v>clk, rst_n, din, dout</x:v>
      </x:c>
      <x:c r="H317" s="15" t="str">
        <x:v>Drive 1001, near misses, repeated matches and an overlapping stream (1001001), one bit per clock using clk, rst_n, din. Reset midway through a prefix.</x:v>
      </x:c>
      <x:c r="I317" s="15" t="str">
        <x:v>Check dout at each match ending. Overlap variants retain a matching suffix; nonoverlap variants discard it. Use the actual combinational/registered output timing in each module, not the name Mealy/Moore alone.</x:v>
      </x:c>
      <x:c r="J317" s="17"/>
      <x:c r="K317" s="24"/>
      <x:c r="L317" s="17"/>
      <x:c r="M317" s="17"/>
      <x:c r="N317" s="15" t="str">
        <x:v>q5_sequence_detector/seq_det_1001_mealy_overlap.sv</x:v>
      </x:c>
      <x:c r="O317" s="26" t="str">
        <x:v>https://github.com/kapiltrip/VerificationLab/blob/0c649a2cbbeef29a88717dda465b6cf958a1bc15/q5_sequence_detector/seq_det_1001_mealy_overlap.sv</x:v>
      </x:c>
      <x:c r="P317" s="15" t="str">
        <x:f>IF(B317="Done",IF(OR(J317="",K317="",L317=""),"Add run evidence","Recorded"),IF(OR(B317="Blocked",B317="N/A"),IF(M317="","Add reason","Reason recorded"),""))</x:f>
      </x:c>
      <x:c r="Q317" s="15" t="str">
        <x:v>0c649a2cbbeef29a88717dda465b6cf958a1bc15</x:v>
      </x:c>
    </x:row>
    <x:row r="318" ht="86" customHeight="1">
      <x:c r="A318" s="4" t="str">
        <x:v>LAB-026</x:v>
      </x:c>
      <x:c r="B318" s="19" t="str">
        <x:v>Pending</x:v>
      </x:c>
      <x:c r="C318" s="4" t="str">
        <x:v>P1</x:v>
      </x:c>
      <x:c r="D318" s="4" t="str">
        <x:v>VerificationLab</x:v>
      </x:c>
      <x:c r="E318" s="4" t="str">
        <x:v>Sequence detector</x:v>
      </x:c>
      <x:c r="F318" s="4" t="str">
        <x:v>1001 matches, overlaps and near misses</x:v>
      </x:c>
      <x:c r="G318" s="4" t="str">
        <x:v>clk, rst_n, din, dout</x:v>
      </x:c>
      <x:c r="H318" s="4" t="str">
        <x:v>Drive 1001, near misses, repeated matches and an overlapping stream (1001001), one bit per clock using clk, rst_n, din. Reset midway through a prefix.</x:v>
      </x:c>
      <x:c r="I318" s="4" t="str">
        <x:v>Check dout at each match ending. Overlap variants retain a matching suffix; nonoverlap variants discard it. Use the actual combinational/registered output timing in each module, not the name Mealy/Moore alone.</x:v>
      </x:c>
      <x:c r="J318" s="17"/>
      <x:c r="K318" s="24"/>
      <x:c r="L318" s="17"/>
      <x:c r="M318" s="17"/>
      <x:c r="N318" s="4" t="str">
        <x:v>q5_sequence_detector/seq_det_1001_moore_overlap.sv</x:v>
      </x:c>
      <x:c r="O318" s="25" t="str">
        <x:v>https://github.com/kapiltrip/VerificationLab/blob/0c649a2cbbeef29a88717dda465b6cf958a1bc15/q5_sequence_detector/seq_det_1001_moore_overlap.sv</x:v>
      </x:c>
      <x:c r="P318" s="4" t="str">
        <x:f>IF(B318="Done",IF(OR(J318="",K318="",L318=""),"Add run evidence","Recorded"),IF(OR(B318="Blocked",B318="N/A"),IF(M318="","Add reason","Reason recorded"),""))</x:f>
      </x:c>
      <x:c r="Q318" s="4" t="str">
        <x:v>0c649a2cbbeef29a88717dda465b6cf958a1bc15</x:v>
      </x:c>
    </x:row>
    <x:row r="319" ht="86" customHeight="1">
      <x:c r="A319" s="15" t="str">
        <x:v>LAB-027</x:v>
      </x:c>
      <x:c r="B319" s="19" t="str">
        <x:v>Pending</x:v>
      </x:c>
      <x:c r="C319" s="15" t="str">
        <x:v>P1</x:v>
      </x:c>
      <x:c r="D319" s="15" t="str">
        <x:v>VerificationLab</x:v>
      </x:c>
      <x:c r="E319" s="15" t="str">
        <x:v>LFSR</x:v>
      </x:c>
      <x:c r="F319" s="15" t="str">
        <x:v>Seed, recurrence and repeat period</x:v>
      </x:c>
      <x:c r="G319" s="15" t="str">
        <x:v>x, y</x:v>
      </x:c>
      <x:c r="H319" s="15" t="str">
        <x:v>Reset/load the documented nonzero seed; record y for a complete small-width sequence and repeat after reset. Also test enable holds if present and the zero-seed behavior.</x:v>
      </x:c>
      <x:c r="I319" s="15" t="str">
        <x:v>The sequence follows the declared tap polynomial and shift direction. A claimed maximal n-bit LFSR visits 2^n-1 distinct nonzero states before repeating; measure the actual period rather than assuming it. Fibonacci and Galois forms need not be bit-for-bit identical. Source mapping: y[0] = (x[0] &amp; x[1]) | x[2]; y[1] = (x[1] ^ x[2]) &amp; x[3].</x:v>
      </x:c>
      <x:c r="J319" s="17"/>
      <x:c r="K319" s="24"/>
      <x:c r="L319" s="17"/>
      <x:c r="M319" s="17"/>
      <x:c r="N319" s="15" t="str">
        <x:v>q9_lfsr_fault_coverage/cut_logic.sv</x:v>
      </x:c>
      <x:c r="O319" s="26" t="str">
        <x:v>https://github.com/kapiltrip/VerificationLab/blob/0c649a2cbbeef29a88717dda465b6cf958a1bc15/q9_lfsr_fault_coverage/cut_logic.sv</x:v>
      </x:c>
      <x:c r="P319" s="15" t="str">
        <x:f>IF(B319="Done",IF(OR(J319="",K319="",L319=""),"Add run evidence","Recorded"),IF(OR(B319="Blocked",B319="N/A"),IF(M319="","Add reason","Reason recorded"),""))</x:f>
      </x:c>
      <x:c r="Q319" s="15" t="str">
        <x:v>0c649a2cbbeef29a88717dda465b6cf958a1bc15</x:v>
      </x:c>
    </x:row>
    <x:row r="320" ht="86" customHeight="1">
      <x:c r="A320" s="4" t="str">
        <x:v>LAB-028</x:v>
      </x:c>
      <x:c r="B320" s="19" t="str">
        <x:v>Pending</x:v>
      </x:c>
      <x:c r="C320" s="4" t="str">
        <x:v>P1</x:v>
      </x:c>
      <x:c r="D320" s="4" t="str">
        <x:v>VerificationLab</x:v>
      </x:c>
      <x:c r="E320" s="4" t="str">
        <x:v>LFSR</x:v>
      </x:c>
      <x:c r="F320" s="4" t="str">
        <x:v>Seed, recurrence and repeat period</x:v>
      </x:c>
      <x:c r="G320" s="4" t="str">
        <x:v>clk, rst_n, en, q</x:v>
      </x:c>
      <x:c r="H320" s="4" t="str">
        <x:v>Reset/load the documented nonzero seed; record q for a complete small-width sequence and repeat after reset. Also test enable holds if present and the zero-seed behavior.</x:v>
      </x:c>
      <x:c r="I320" s="4" t="str">
        <x:v>The sequence follows the declared tap polynomial and shift direction. A claimed maximal n-bit LFSR visits 2^n-1 distinct nonzero states before repeating; measure the actual period rather than assuming it. Fibonacci and Galois forms need not be bit-for-bit identical.</x:v>
      </x:c>
      <x:c r="J320" s="17"/>
      <x:c r="K320" s="24"/>
      <x:c r="L320" s="17"/>
      <x:c r="M320" s="17"/>
      <x:c r="N320" s="4" t="str">
        <x:v>q9_lfsr_fault_coverage/lfsr4.sv</x:v>
      </x:c>
      <x:c r="O320" s="25" t="str">
        <x:v>https://github.com/kapiltrip/VerificationLab/blob/0c649a2cbbeef29a88717dda465b6cf958a1bc15/q9_lfsr_fault_coverage/lfsr4.sv</x:v>
      </x:c>
      <x:c r="P320" s="4" t="str">
        <x:f>IF(B320="Done",IF(OR(J320="",K320="",L320=""),"Add run evidence","Recorded"),IF(OR(B320="Blocked",B320="N/A"),IF(M320="","Add reason","Reason recorded"),""))</x:f>
      </x:c>
      <x:c r="Q320" s="4" t="str">
        <x:v>0c649a2cbbeef29a88717dda465b6cf958a1bc15</x:v>
      </x:c>
    </x:row>
    <x:row r="321" ht="86" customHeight="1">
      <x:c r="A321" s="15" t="str">
        <x:v>LAB-029</x:v>
      </x:c>
      <x:c r="B321" s="19" t="str">
        <x:v>Pending</x:v>
      </x:c>
      <x:c r="C321" s="15" t="str">
        <x:v>P1</x:v>
      </x:c>
      <x:c r="D321" s="15" t="str">
        <x:v>VerificationLab</x:v>
      </x:c>
      <x:c r="E321" s="15" t="str">
        <x:v>LFSR</x:v>
      </x:c>
      <x:c r="F321" s="15" t="str">
        <x:v>Seed, recurrence and repeat period</x:v>
      </x:c>
      <x:c r="G321" s="15" t="str">
        <x:v>clk, rst_n, en, q</x:v>
      </x:c>
      <x:c r="H321" s="15" t="str">
        <x:v>Reset/load the documented nonzero seed; record q for a complete small-width sequence and repeat after reset. Also test enable holds if present and the zero-seed behavior.</x:v>
      </x:c>
      <x:c r="I321" s="15" t="str">
        <x:v>The sequence follows the declared tap polynomial and shift direction. A claimed maximal n-bit LFSR visits 2^n-1 distinct nonzero states before repeating; measure the actual period rather than assuming it. Fibonacci and Galois forms need not be bit-for-bit identical.</x:v>
      </x:c>
      <x:c r="J321" s="17"/>
      <x:c r="K321" s="24"/>
      <x:c r="L321" s="17"/>
      <x:c r="M321" s="17"/>
      <x:c r="N321" s="15" t="str">
        <x:v>q9_lfsr_fault_coverage/lfsr8.sv</x:v>
      </x:c>
      <x:c r="O321" s="26" t="str">
        <x:v>https://github.com/kapiltrip/VerificationLab/blob/0c649a2cbbeef29a88717dda465b6cf958a1bc15/q9_lfsr_fault_coverage/lfsr8.sv</x:v>
      </x:c>
      <x:c r="P321" s="15" t="str">
        <x:f>IF(B321="Done",IF(OR(J321="",K321="",L321=""),"Add run evidence","Recorded"),IF(OR(B321="Blocked",B321="N/A"),IF(M321="","Add reason","Reason recorded"),""))</x:f>
      </x:c>
      <x:c r="Q321" s="15" t="str">
        <x:v>0c649a2cbbeef29a88717dda465b6cf958a1bc15</x:v>
      </x:c>
    </x:row>
    <x:row r="322" ht="86" customHeight="1">
      <x:c r="A322" s="4" t="str">
        <x:v>LAB-030</x:v>
      </x:c>
      <x:c r="B322" s="19" t="str">
        <x:v>Pending</x:v>
      </x:c>
      <x:c r="C322" s="4" t="str">
        <x:v>P1</x:v>
      </x:c>
      <x:c r="D322" s="4" t="str">
        <x:v>VerificationLab</x:v>
      </x:c>
      <x:c r="E322" s="4" t="str">
        <x:v>Multiplexer</x:v>
      </x:c>
      <x:c r="F322" s="4" t="str">
        <x:v>Every select and unselected-input isolation</x:v>
      </x:c>
      <x:c r="G322" s="4" t="str">
        <x:v>d, sel, y</x:v>
      </x:c>
      <x:c r="H322" s="4" t="str">
        <x:v>Sweep sel through all encodings; set data inputs to distinguishable patterns, then toggle only unselected inputs.</x:v>
      </x:c>
      <x:c r="I322" s="4" t="str">
        <x:v>y equals the selected input. Exercise selected values 0 and 1 and vector extremes. Unselected changes do not affect the result; verify the default mapping for unused encodings. Source mapping: y = d[sel].</x:v>
      </x:c>
      <x:c r="J322" s="17"/>
      <x:c r="K322" s="24"/>
      <x:c r="L322" s="17"/>
      <x:c r="M322" s="17"/>
      <x:c r="N322" s="4" t="str">
        <x:v>simplified/exp1_mux4to1/code/mux4to1.sv</x:v>
      </x:c>
      <x:c r="O322" s="25" t="str">
        <x:v>https://github.com/kapiltrip/VerificationLab/blob/0c649a2cbbeef29a88717dda465b6cf958a1bc15/simplified/exp1_mux4to1/code/mux4to1.sv</x:v>
      </x:c>
      <x:c r="P322" s="4" t="str">
        <x:f>IF(B322="Done",IF(OR(J322="",K322="",L322=""),"Add run evidence","Recorded"),IF(OR(B322="Blocked",B322="N/A"),IF(M322="","Add reason","Reason recorded"),""))</x:f>
      </x:c>
      <x:c r="Q322" s="4" t="str">
        <x:v>0c649a2cbbeef29a88717dda465b6cf958a1bc15</x:v>
      </x:c>
    </x:row>
    <x:row r="323" ht="86" customHeight="1">
      <x:c r="A323" s="15" t="str">
        <x:v>LAB-031</x:v>
      </x:c>
      <x:c r="B323" s="19" t="str">
        <x:v>Pending</x:v>
      </x:c>
      <x:c r="C323" s="15" t="str">
        <x:v>P1</x:v>
      </x:c>
      <x:c r="D323" s="15" t="str">
        <x:v>VerificationLab</x:v>
      </x:c>
      <x:c r="E323" s="15" t="str">
        <x:v>Arithmetic</x:v>
      </x:c>
      <x:c r="F323" s="15" t="str">
        <x:v>Arithmetic, carry/borrow and width</x:v>
      </x:c>
      <x:c r="G323" s="15" t="str">
        <x:v>a, b, cin, sum, cout</x:v>
      </x:c>
      <x:c r="H323" s="15" t="str">
        <x:v>Exercise a, b, cin at zero, one, maximum, alternating patterns and long carry/borrow chains. Exhaust all combinations for small widths; include both carry-in/subtract settings when present.</x:v>
      </x:c>
      <x:c r="I323" s="15" t="str">
        <x:v>Compute the integer arithmetic independently, then apply the declared result width. Check every sum, cout bit including carry, borrow or signed overflow where exposed. Carry-out and signed overflow are different.  Source mapping: sum = p ^ {c3, c2, c1, cin}; cout = c4.</x:v>
      </x:c>
      <x:c r="J323" s="17"/>
      <x:c r="K323" s="24"/>
      <x:c r="L323" s="17"/>
      <x:c r="M323" s="17"/>
      <x:c r="N323" s="15" t="str">
        <x:v>simplified/exp4_cla4/code/cla4.sv</x:v>
      </x:c>
      <x:c r="O323" s="26" t="str">
        <x:v>https://github.com/kapiltrip/VerificationLab/blob/0c649a2cbbeef29a88717dda465b6cf958a1bc15/simplified/exp4_cla4/code/cla4.sv</x:v>
      </x:c>
      <x:c r="P323" s="15" t="str">
        <x:f>IF(B323="Done",IF(OR(J323="",K323="",L323=""),"Add run evidence","Recorded"),IF(OR(B323="Blocked",B323="N/A"),IF(M323="","Add reason","Reason recorded"),""))</x:f>
      </x:c>
      <x:c r="Q323" s="15" t="str">
        <x:v>0c649a2cbbeef29a88717dda465b6cf958a1bc15</x:v>
      </x:c>
    </x:row>
    <x:row r="324" ht="86" customHeight="1">
      <x:c r="A324" s="4" t="str">
        <x:v>LAB-032</x:v>
      </x:c>
      <x:c r="B324" s="19" t="str">
        <x:v>Pending</x:v>
      </x:c>
      <x:c r="C324" s="4" t="str">
        <x:v>P1</x:v>
      </x:c>
      <x:c r="D324" s="4" t="str">
        <x:v>VerificationLab</x:v>
      </x:c>
      <x:c r="E324" s="4" t="str">
        <x:v>Sequence detector</x:v>
      </x:c>
      <x:c r="F324" s="4" t="str">
        <x:v>1001 matches, overlaps and near misses</x:v>
      </x:c>
      <x:c r="G324" s="4" t="str">
        <x:v>clk, rst, din, dout</x:v>
      </x:c>
      <x:c r="H324" s="4" t="str">
        <x:v>Drive 1001, near misses, repeated matches and an overlapping stream (1001001), one bit per clock using clk, rst, din. Reset midway through a prefix.</x:v>
      </x:c>
      <x:c r="I324" s="4" t="str">
        <x:v>Check dout at each match ending. Overlap variants retain a matching suffix; nonoverlap variants discard it. Use the actual combinational/registered output timing in each module, not the name Mealy/Moore alone.</x:v>
      </x:c>
      <x:c r="J324" s="17"/>
      <x:c r="K324" s="24"/>
      <x:c r="L324" s="17"/>
      <x:c r="M324" s="17"/>
      <x:c r="N324" s="4" t="str">
        <x:v>simplified/exp5_seq_detector_mealy/code/seq_det_1001_mealy.sv</x:v>
      </x:c>
      <x:c r="O324" s="25" t="str">
        <x:v>https://github.com/kapiltrip/VerificationLab/blob/0c649a2cbbeef29a88717dda465b6cf958a1bc15/simplified/exp5_seq_detector_mealy/code/seq_det_1001_mealy.sv</x:v>
      </x:c>
      <x:c r="P324" s="4" t="str">
        <x:f>IF(B324="Done",IF(OR(J324="",K324="",L324=""),"Add run evidence","Recorded"),IF(OR(B324="Blocked",B324="N/A"),IF(M324="","Add reason","Reason recorded"),""))</x:f>
      </x:c>
      <x:c r="Q324" s="4" t="str">
        <x:v>0c649a2cbbeef29a88717dda465b6cf958a1bc15</x:v>
      </x:c>
    </x:row>
    <x:row r="325" ht="86" customHeight="1">
      <x:c r="A325" s="15" t="str">
        <x:v>LAB-033</x:v>
      </x:c>
      <x:c r="B325" s="19" t="str">
        <x:v>Pending</x:v>
      </x:c>
      <x:c r="C325" s="15" t="str">
        <x:v>P1</x:v>
      </x:c>
      <x:c r="D325" s="15" t="str">
        <x:v>VerificationLab</x:v>
      </x:c>
      <x:c r="E325" s="15" t="str">
        <x:v>Sequence detector</x:v>
      </x:c>
      <x:c r="F325" s="15" t="str">
        <x:v>1001 matches, overlaps and near misses</x:v>
      </x:c>
      <x:c r="G325" s="15" t="str">
        <x:v>clk, rst, din, dout</x:v>
      </x:c>
      <x:c r="H325" s="15" t="str">
        <x:v>Drive 1001, near misses, repeated matches and an overlapping stream (1001001), one bit per clock using clk, rst, din. Reset midway through a prefix.</x:v>
      </x:c>
      <x:c r="I325" s="15" t="str">
        <x:v>Check dout at each match ending. Overlap variants retain a matching suffix; nonoverlap variants discard it. Use the actual combinational/registered output timing in each module, not the name Mealy/Moore alone. Source mapping: dout = (state == S4); dout = (state == S4).</x:v>
      </x:c>
      <x:c r="J325" s="17"/>
      <x:c r="K325" s="24"/>
      <x:c r="L325" s="17"/>
      <x:c r="M325" s="17"/>
      <x:c r="N325" s="15" t="str">
        <x:v>simplified/exp6_seq_detector_moore/code/seq_det_1001_moore.sv</x:v>
      </x:c>
      <x:c r="O325" s="26" t="str">
        <x:v>https://github.com/kapiltrip/VerificationLab/blob/0c649a2cbbeef29a88717dda465b6cf958a1bc15/simplified/exp6_seq_detector_moore/code/seq_det_1001_moore.sv</x:v>
      </x:c>
      <x:c r="P325" s="15" t="str">
        <x:f>IF(B325="Done",IF(OR(J325="",K325="",L325=""),"Add run evidence","Recorded"),IF(OR(B325="Blocked",B325="N/A"),IF(M325="","Add reason","Reason recorded"),""))</x:f>
      </x:c>
      <x:c r="Q325" s="15" t="str">
        <x:v>0c649a2cbbeef29a88717dda465b6cf958a1bc15</x:v>
      </x:c>
    </x:row>
    <x:row r="326" ht="86" customHeight="1">
      <x:c r="A326" s="4" t="str">
        <x:v>LAB-034</x:v>
      </x:c>
      <x:c r="B326" s="19" t="str">
        <x:v>Pending</x:v>
      </x:c>
      <x:c r="C326" s="4" t="str">
        <x:v>P1</x:v>
      </x:c>
      <x:c r="D326" s="4" t="str">
        <x:v>VerificationLab</x:v>
      </x:c>
      <x:c r="E326" s="4" t="str">
        <x:v>LFSR</x:v>
      </x:c>
      <x:c r="F326" s="4" t="str">
        <x:v>Seed, recurrence and repeat period</x:v>
      </x:c>
      <x:c r="G326" s="4" t="str">
        <x:v>clk, rst, q</x:v>
      </x:c>
      <x:c r="H326" s="4" t="str">
        <x:v>Reset/load the documented nonzero seed; record q for a complete small-width sequence and repeat after reset. Also test enable holds if present and the zero-seed behavior.</x:v>
      </x:c>
      <x:c r="I326" s="4" t="str">
        <x:v>The sequence follows the declared tap polynomial and shift direction. A claimed maximal n-bit LFSR visits 2^n-1 distinct nonzero states before repeating; measure the actual period rather than assuming it. Fibonacci and Galois forms need not be bit-for-bit identical.</x:v>
      </x:c>
      <x:c r="J326" s="17"/>
      <x:c r="K326" s="24"/>
      <x:c r="L326" s="17"/>
      <x:c r="M326" s="17"/>
      <x:c r="N326" s="4" t="str">
        <x:v>simplified/exp7_lfsr/code/lfsr_fibonacci.sv</x:v>
      </x:c>
      <x:c r="O326" s="25" t="str">
        <x:v>https://github.com/kapiltrip/VerificationLab/blob/0c649a2cbbeef29a88717dda465b6cf958a1bc15/simplified/exp7_lfsr/code/lfsr_fibonacci.sv</x:v>
      </x:c>
      <x:c r="P326" s="4" t="str">
        <x:f>IF(B326="Done",IF(OR(J326="",K326="",L326=""),"Add run evidence","Recorded"),IF(OR(B326="Blocked",B326="N/A"),IF(M326="","Add reason","Reason recorded"),""))</x:f>
      </x:c>
      <x:c r="Q326" s="4" t="str">
        <x:v>0c649a2cbbeef29a88717dda465b6cf958a1bc15</x:v>
      </x:c>
    </x:row>
    <x:row r="327" ht="86" customHeight="1">
      <x:c r="A327" s="15" t="str">
        <x:v>LAB-035</x:v>
      </x:c>
      <x:c r="B327" s="19" t="str">
        <x:v>Pending</x:v>
      </x:c>
      <x:c r="C327" s="15" t="str">
        <x:v>P1</x:v>
      </x:c>
      <x:c r="D327" s="15" t="str">
        <x:v>VerificationLab</x:v>
      </x:c>
      <x:c r="E327" s="15" t="str">
        <x:v>LFSR</x:v>
      </x:c>
      <x:c r="F327" s="15" t="str">
        <x:v>Seed, recurrence and repeat period</x:v>
      </x:c>
      <x:c r="G327" s="15" t="str">
        <x:v>clk, rst, q</x:v>
      </x:c>
      <x:c r="H327" s="15" t="str">
        <x:v>Reset/load the documented nonzero seed; record q for a complete small-width sequence and repeat after reset. Also test enable holds if present and the zero-seed behavior.</x:v>
      </x:c>
      <x:c r="I327" s="15" t="str">
        <x:v>The sequence follows the declared tap polynomial and shift direction. A claimed maximal n-bit LFSR visits 2^n-1 distinct nonzero states before repeating; measure the actual period rather than assuming it. Fibonacci and Galois forms need not be bit-for-bit identical.</x:v>
      </x:c>
      <x:c r="J327" s="17"/>
      <x:c r="K327" s="24"/>
      <x:c r="L327" s="17"/>
      <x:c r="M327" s="17"/>
      <x:c r="N327" s="15" t="str">
        <x:v>simplified/exp7_lfsr/code/lfsr_galois.sv</x:v>
      </x:c>
      <x:c r="O327" s="26" t="str">
        <x:v>https://github.com/kapiltrip/VerificationLab/blob/0c649a2cbbeef29a88717dda465b6cf958a1bc15/simplified/exp7_lfsr/code/lfsr_galois.sv</x:v>
      </x:c>
      <x:c r="P327" s="15" t="str">
        <x:f>IF(B327="Done",IF(OR(J327="",K327="",L327=""),"Add run evidence","Recorded"),IF(OR(B327="Blocked",B327="N/A"),IF(M327="","Add reason","Reason recorded"),""))</x:f>
      </x:c>
      <x:c r="Q327" s="15" t="str">
        <x:v>0c649a2cbbeef29a88717dda465b6cf958a1bc15</x:v>
      </x:c>
    </x:row>
    <x:row r="328" ht="86" customHeight="1">
      <x:c r="A328" s="4" t="str">
        <x:v>PP-003</x:v>
      </x:c>
      <x:c r="B328" s="19" t="str">
        <x:v>Pending</x:v>
      </x:c>
      <x:c r="C328" s="4" t="str">
        <x:v>P1</x:v>
      </x:c>
      <x:c r="D328" s="4" t="str">
        <x:v>PlacementPrep</x:v>
      </x:c>
      <x:c r="E328" s="4" t="str">
        <x:v>Combinational logic</x:v>
      </x:c>
      <x:c r="F328" s="4" t="str">
        <x:v>Input combinations and output mapping</x:v>
      </x:c>
      <x:c r="G328" s="4" t="str">
        <x:v>a, b, y</x:v>
      </x:c>
      <x:c r="H328" s="4" t="str">
        <x:v>Drive a, b through binary combinations when small; for vectors use zero, all ones, alternating bits and walking one/zero. Toggle one input at a time and include rapid changes after a previous nonzero result.</x:v>
      </x:c>
      <x:c r="I328" s="4" t="str">
        <x:v>Check y against an independently written truth table. Combinational results must settle without a clock or stale retained values.</x:v>
      </x:c>
      <x:c r="J328" s="17"/>
      <x:c r="K328" s="24"/>
      <x:c r="L328" s="17"/>
      <x:c r="M328" s="17"/>
      <x:c r="N328" s="4" t="str">
        <x:v>src/additions/gate/and2_g.v</x:v>
      </x:c>
      <x:c r="O328" s="25" t="str">
        <x:v>https://github.com/kapiltrip/PlacementPrep/blob/4aeb1a1555f5051ec06a4cc3fc5ae866fcc13194/src/additions/gate/and2_g.v</x:v>
      </x:c>
      <x:c r="P328" s="4" t="str">
        <x:f>IF(B328="Done",IF(OR(J328="",K328="",L328=""),"Add run evidence","Recorded"),IF(OR(B328="Blocked",B328="N/A"),IF(M328="","Add reason","Reason recorded"),""))</x:f>
      </x:c>
      <x:c r="Q328" s="4" t="str">
        <x:v>4aeb1a1555f5051ec06a4cc3fc5ae866fcc13194</x:v>
      </x:c>
    </x:row>
    <x:row r="329" ht="86" customHeight="1">
      <x:c r="A329" s="15" t="str">
        <x:v>PP-004</x:v>
      </x:c>
      <x:c r="B329" s="19" t="str">
        <x:v>Pending</x:v>
      </x:c>
      <x:c r="C329" s="15" t="str">
        <x:v>P1</x:v>
      </x:c>
      <x:c r="D329" s="15" t="str">
        <x:v>PlacementPrep</x:v>
      </x:c>
      <x:c r="E329" s="15" t="str">
        <x:v>Multiplexer</x:v>
      </x:c>
      <x:c r="F329" s="15" t="str">
        <x:v>Every select and unselected-input isolation</x:v>
      </x:c>
      <x:c r="G329" s="15" t="str">
        <x:v>a, b, sel, y</x:v>
      </x:c>
      <x:c r="H329" s="15" t="str">
        <x:v>Sweep sel through all encodings; set data inputs to distinguishable patterns, then toggle only unselected inputs.</x:v>
      </x:c>
      <x:c r="I329" s="15" t="str">
        <x:v>y equals the selected input. Exercise selected values 0 and 1 and vector extremes. Unselected changes do not affect the result; verify the default mapping for unused encodings.</x:v>
      </x:c>
      <x:c r="J329" s="17"/>
      <x:c r="K329" s="24"/>
      <x:c r="L329" s="17"/>
      <x:c r="M329" s="17"/>
      <x:c r="N329" s="15" t="str">
        <x:v>src/additions/gate/mux2_g.v</x:v>
      </x:c>
      <x:c r="O329" s="26" t="str">
        <x:v>https://github.com/kapiltrip/PlacementPrep/blob/4aeb1a1555f5051ec06a4cc3fc5ae866fcc13194/src/additions/gate/mux2_g.v</x:v>
      </x:c>
      <x:c r="P329" s="15" t="str">
        <x:f>IF(B329="Done",IF(OR(J329="",K329="",L329=""),"Add run evidence","Recorded"),IF(OR(B329="Blocked",B329="N/A"),IF(M329="","Add reason","Reason recorded"),""))</x:f>
      </x:c>
      <x:c r="Q329" s="15" t="str">
        <x:v>4aeb1a1555f5051ec06a4cc3fc5ae866fcc13194</x:v>
      </x:c>
    </x:row>
    <x:row r="330" ht="86" customHeight="1">
      <x:c r="A330" s="4" t="str">
        <x:v>PP-005</x:v>
      </x:c>
      <x:c r="B330" s="19" t="str">
        <x:v>Pending</x:v>
      </x:c>
      <x:c r="C330" s="4" t="str">
        <x:v>P1</x:v>
      </x:c>
      <x:c r="D330" s="4" t="str">
        <x:v>PlacementPrep</x:v>
      </x:c>
      <x:c r="E330" s="4" t="str">
        <x:v>Combinational logic</x:v>
      </x:c>
      <x:c r="F330" s="4" t="str">
        <x:v>Input combinations and output mapping</x:v>
      </x:c>
      <x:c r="G330" s="4" t="str">
        <x:v>a, y</x:v>
      </x:c>
      <x:c r="H330" s="4" t="str">
        <x:v>Drive a through binary combinations when small; for vectors use zero, all ones, alternating bits and walking one/zero. Toggle one input at a time and include rapid changes after a previous nonzero result.</x:v>
      </x:c>
      <x:c r="I330" s="4" t="str">
        <x:v>Check y against an independently written truth table. Combinational results must settle without a clock or stale retained values.</x:v>
      </x:c>
      <x:c r="J330" s="17"/>
      <x:c r="K330" s="24"/>
      <x:c r="L330" s="17"/>
      <x:c r="M330" s="17"/>
      <x:c r="N330" s="4" t="str">
        <x:v>src/additions/gate/not1_g.v</x:v>
      </x:c>
      <x:c r="O330" s="25" t="str">
        <x:v>https://github.com/kapiltrip/PlacementPrep/blob/4aeb1a1555f5051ec06a4cc3fc5ae866fcc13194/src/additions/gate/not1_g.v</x:v>
      </x:c>
      <x:c r="P330" s="4" t="str">
        <x:f>IF(B330="Done",IF(OR(J330="",K330="",L330=""),"Add run evidence","Recorded"),IF(OR(B330="Blocked",B330="N/A"),IF(M330="","Add reason","Reason recorded"),""))</x:f>
      </x:c>
      <x:c r="Q330" s="4" t="str">
        <x:v>4aeb1a1555f5051ec06a4cc3fc5ae866fcc13194</x:v>
      </x:c>
    </x:row>
    <x:row r="331" ht="86" customHeight="1">
      <x:c r="A331" s="15" t="str">
        <x:v>PP-006</x:v>
      </x:c>
      <x:c r="B331" s="19" t="str">
        <x:v>Pending</x:v>
      </x:c>
      <x:c r="C331" s="15" t="str">
        <x:v>P1</x:v>
      </x:c>
      <x:c r="D331" s="15" t="str">
        <x:v>PlacementPrep</x:v>
      </x:c>
      <x:c r="E331" s="15" t="str">
        <x:v>Combinational logic</x:v>
      </x:c>
      <x:c r="F331" s="15" t="str">
        <x:v>Input combinations and output mapping</x:v>
      </x:c>
      <x:c r="G331" s="15" t="str">
        <x:v>a, b, y</x:v>
      </x:c>
      <x:c r="H331" s="15" t="str">
        <x:v>Drive a, b through binary combinations when small; for vectors use zero, all ones, alternating bits and walking one/zero. Toggle one input at a time and include rapid changes after a previous nonzero result.</x:v>
      </x:c>
      <x:c r="I331" s="15" t="str">
        <x:v>Check y against an independently written truth table. Combinational results must settle without a clock or stale retained values.</x:v>
      </x:c>
      <x:c r="J331" s="17"/>
      <x:c r="K331" s="24"/>
      <x:c r="L331" s="17"/>
      <x:c r="M331" s="17"/>
      <x:c r="N331" s="15" t="str">
        <x:v>src/additions/gate/or2_g.v</x:v>
      </x:c>
      <x:c r="O331" s="26" t="str">
        <x:v>https://github.com/kapiltrip/PlacementPrep/blob/4aeb1a1555f5051ec06a4cc3fc5ae866fcc13194/src/additions/gate/or2_g.v</x:v>
      </x:c>
      <x:c r="P331" s="15" t="str">
        <x:f>IF(B331="Done",IF(OR(J331="",K331="",L331=""),"Add run evidence","Recorded"),IF(OR(B331="Blocked",B331="N/A"),IF(M331="","Add reason","Reason recorded"),""))</x:f>
      </x:c>
      <x:c r="Q331" s="15" t="str">
        <x:v>4aeb1a1555f5051ec06a4cc3fc5ae866fcc13194</x:v>
      </x:c>
    </x:row>
    <x:row r="332" ht="86" customHeight="1">
      <x:c r="A332" s="4" t="str">
        <x:v>PP-007</x:v>
      </x:c>
      <x:c r="B332" s="19" t="str">
        <x:v>Pending</x:v>
      </x:c>
      <x:c r="C332" s="4" t="str">
        <x:v>P1</x:v>
      </x:c>
      <x:c r="D332" s="4" t="str">
        <x:v>PlacementPrep</x:v>
      </x:c>
      <x:c r="E332" s="4" t="str">
        <x:v>Tri-state bus</x:v>
      </x:c>
      <x:c r="F332" s="4" t="str">
        <x:v>Drive, release and contention</x:v>
      </x:c>
      <x:c r="G332" s="4" t="str">
        <x:v>en, a, y</x:v>
      </x:c>
      <x:c r="H332" s="4" t="str">
        <x:v>Exercise en, a, y; allow one external driver at a time, test each direction/enable, then release both. Isolate a conflicting-drive negative run.</x:v>
      </x:c>
      <x:c r="I332" s="4" t="str">
        <x:v>Enabled path forwards the source, disabled path is high impedance, and conflicting equal-strength binary drives resolve to X. Do not replace four-state checks with two-state equality.</x:v>
      </x:c>
      <x:c r="J332" s="17"/>
      <x:c r="K332" s="24"/>
      <x:c r="L332" s="17"/>
      <x:c r="M332" s="17"/>
      <x:c r="N332" s="4" t="str">
        <x:v>src/additions/gate/tri_buf_g.v</x:v>
      </x:c>
      <x:c r="O332" s="25" t="str">
        <x:v>https://github.com/kapiltrip/PlacementPrep/blob/4aeb1a1555f5051ec06a4cc3fc5ae866fcc13194/src/additions/gate/tri_buf_g.v</x:v>
      </x:c>
      <x:c r="P332" s="4" t="str">
        <x:f>IF(B332="Done",IF(OR(J332="",K332="",L332=""),"Add run evidence","Recorded"),IF(OR(B332="Blocked",B332="N/A"),IF(M332="","Add reason","Reason recorded"),""))</x:f>
      </x:c>
      <x:c r="Q332" s="4" t="str">
        <x:v>4aeb1a1555f5051ec06a4cc3fc5ae866fcc13194</x:v>
      </x:c>
    </x:row>
    <x:row r="333" ht="86" customHeight="1">
      <x:c r="A333" s="15" t="str">
        <x:v>PP-008</x:v>
      </x:c>
      <x:c r="B333" s="19" t="str">
        <x:v>Pending</x:v>
      </x:c>
      <x:c r="C333" s="15" t="str">
        <x:v>P1</x:v>
      </x:c>
      <x:c r="D333" s="15" t="str">
        <x:v>PlacementPrep</x:v>
      </x:c>
      <x:c r="E333" s="15" t="str">
        <x:v>Combinational logic</x:v>
      </x:c>
      <x:c r="F333" s="15" t="str">
        <x:v>Input combinations and output mapping</x:v>
      </x:c>
      <x:c r="G333" s="15" t="str">
        <x:v>a, b, y</x:v>
      </x:c>
      <x:c r="H333" s="15" t="str">
        <x:v>Drive a, b through binary combinations when small; for vectors use zero, all ones, alternating bits and walking one/zero. Toggle one input at a time and include rapid changes after a previous nonzero result.</x:v>
      </x:c>
      <x:c r="I333" s="15" t="str">
        <x:v>Check y against an independently written truth table. Combinational results must settle without a clock or stale retained values.</x:v>
      </x:c>
      <x:c r="J333" s="17"/>
      <x:c r="K333" s="24"/>
      <x:c r="L333" s="17"/>
      <x:c r="M333" s="17"/>
      <x:c r="N333" s="15" t="str">
        <x:v>src/additions/gate/xnor2_from_nand_g.v</x:v>
      </x:c>
      <x:c r="O333" s="26" t="str">
        <x:v>https://github.com/kapiltrip/PlacementPrep/blob/4aeb1a1555f5051ec06a4cc3fc5ae866fcc13194/src/additions/gate/xnor2_from_nand_g.v</x:v>
      </x:c>
      <x:c r="P333" s="15" t="str">
        <x:f>IF(B333="Done",IF(OR(J333="",K333="",L333=""),"Add run evidence","Recorded"),IF(OR(B333="Blocked",B333="N/A"),IF(M333="","Add reason","Reason recorded"),""))</x:f>
      </x:c>
      <x:c r="Q333" s="15" t="str">
        <x:v>4aeb1a1555f5051ec06a4cc3fc5ae866fcc13194</x:v>
      </x:c>
    </x:row>
    <x:row r="334" ht="86" customHeight="1">
      <x:c r="A334" s="4" t="str">
        <x:v>PP-009</x:v>
      </x:c>
      <x:c r="B334" s="19" t="str">
        <x:v>Pending</x:v>
      </x:c>
      <x:c r="C334" s="4" t="str">
        <x:v>P1</x:v>
      </x:c>
      <x:c r="D334" s="4" t="str">
        <x:v>PlacementPrep</x:v>
      </x:c>
      <x:c r="E334" s="4" t="str">
        <x:v>Combinational logic</x:v>
      </x:c>
      <x:c r="F334" s="4" t="str">
        <x:v>Input combinations and output mapping</x:v>
      </x:c>
      <x:c r="G334" s="4" t="str">
        <x:v>a, b, y</x:v>
      </x:c>
      <x:c r="H334" s="4" t="str">
        <x:v>Drive a, b through binary combinations when small; for vectors use zero, all ones, alternating bits and walking one/zero. Toggle one input at a time and include rapid changes after a previous nonzero result.</x:v>
      </x:c>
      <x:c r="I334" s="4" t="str">
        <x:v>Check y against an independently written truth table. Combinational results must settle without a clock or stale retained values.</x:v>
      </x:c>
      <x:c r="J334" s="17"/>
      <x:c r="K334" s="24"/>
      <x:c r="L334" s="17"/>
      <x:c r="M334" s="17"/>
      <x:c r="N334" s="4" t="str">
        <x:v>src/additions/gate/xnor2_from_nor_g.v</x:v>
      </x:c>
      <x:c r="O334" s="25" t="str">
        <x:v>https://github.com/kapiltrip/PlacementPrep/blob/4aeb1a1555f5051ec06a4cc3fc5ae866fcc13194/src/additions/gate/xnor2_from_nor_g.v</x:v>
      </x:c>
      <x:c r="P334" s="4" t="str">
        <x:f>IF(B334="Done",IF(OR(J334="",K334="",L334=""),"Add run evidence","Recorded"),IF(OR(B334="Blocked",B334="N/A"),IF(M334="","Add reason","Reason recorded"),""))</x:f>
      </x:c>
      <x:c r="Q334" s="4" t="str">
        <x:v>4aeb1a1555f5051ec06a4cc3fc5ae866fcc13194</x:v>
      </x:c>
    </x:row>
    <x:row r="335" ht="86" customHeight="1">
      <x:c r="A335" s="15" t="str">
        <x:v>PP-010</x:v>
      </x:c>
      <x:c r="B335" s="19" t="str">
        <x:v>Pending</x:v>
      </x:c>
      <x:c r="C335" s="15" t="str">
        <x:v>P1</x:v>
      </x:c>
      <x:c r="D335" s="15" t="str">
        <x:v>PlacementPrep</x:v>
      </x:c>
      <x:c r="E335" s="15" t="str">
        <x:v>Combinational logic</x:v>
      </x:c>
      <x:c r="F335" s="15" t="str">
        <x:v>Input combinations and output mapping</x:v>
      </x:c>
      <x:c r="G335" s="15" t="str">
        <x:v>a, b, y</x:v>
      </x:c>
      <x:c r="H335" s="15" t="str">
        <x:v>Drive a, b through binary combinations when small; for vectors use zero, all ones, alternating bits and walking one/zero. Toggle one input at a time and include rapid changes after a previous nonzero result.</x:v>
      </x:c>
      <x:c r="I335" s="15" t="str">
        <x:v>Check y against an independently written truth table. Combinational results must settle without a clock or stale retained values.</x:v>
      </x:c>
      <x:c r="J335" s="17"/>
      <x:c r="K335" s="24"/>
      <x:c r="L335" s="17"/>
      <x:c r="M335" s="17"/>
      <x:c r="N335" s="15" t="str">
        <x:v>src/additions/gate/xnor2_g.v</x:v>
      </x:c>
      <x:c r="O335" s="26" t="str">
        <x:v>https://github.com/kapiltrip/PlacementPrep/blob/4aeb1a1555f5051ec06a4cc3fc5ae866fcc13194/src/additions/gate/xnor2_g.v</x:v>
      </x:c>
      <x:c r="P335" s="15" t="str">
        <x:f>IF(B335="Done",IF(OR(J335="",K335="",L335=""),"Add run evidence","Recorded"),IF(OR(B335="Blocked",B335="N/A"),IF(M335="","Add reason","Reason recorded"),""))</x:f>
      </x:c>
      <x:c r="Q335" s="15" t="str">
        <x:v>4aeb1a1555f5051ec06a4cc3fc5ae866fcc13194</x:v>
      </x:c>
    </x:row>
    <x:row r="336" ht="86" customHeight="1">
      <x:c r="A336" s="4" t="str">
        <x:v>PP-011</x:v>
      </x:c>
      <x:c r="B336" s="19" t="str">
        <x:v>Pending</x:v>
      </x:c>
      <x:c r="C336" s="4" t="str">
        <x:v>P1</x:v>
      </x:c>
      <x:c r="D336" s="4" t="str">
        <x:v>PlacementPrep</x:v>
      </x:c>
      <x:c r="E336" s="4" t="str">
        <x:v>Combinational logic</x:v>
      </x:c>
      <x:c r="F336" s="4" t="str">
        <x:v>Input combinations and output mapping</x:v>
      </x:c>
      <x:c r="G336" s="4" t="str">
        <x:v>a, b, y</x:v>
      </x:c>
      <x:c r="H336" s="4" t="str">
        <x:v>Drive a, b through binary combinations when small; for vectors use zero, all ones, alternating bits and walking one/zero. Toggle one input at a time and include rapid changes after a previous nonzero result.</x:v>
      </x:c>
      <x:c r="I336" s="4" t="str">
        <x:v>Check y against an independently written truth table. Combinational results must settle without a clock or stale retained values.</x:v>
      </x:c>
      <x:c r="J336" s="17"/>
      <x:c r="K336" s="24"/>
      <x:c r="L336" s="17"/>
      <x:c r="M336" s="17"/>
      <x:c r="N336" s="4" t="str">
        <x:v>src/additions/gate/xor2_from_nand_g.v</x:v>
      </x:c>
      <x:c r="O336" s="25" t="str">
        <x:v>https://github.com/kapiltrip/PlacementPrep/blob/4aeb1a1555f5051ec06a4cc3fc5ae866fcc13194/src/additions/gate/xor2_from_nand_g.v</x:v>
      </x:c>
      <x:c r="P336" s="4" t="str">
        <x:f>IF(B336="Done",IF(OR(J336="",K336="",L336=""),"Add run evidence","Recorded"),IF(OR(B336="Blocked",B336="N/A"),IF(M336="","Add reason","Reason recorded"),""))</x:f>
      </x:c>
      <x:c r="Q336" s="4" t="str">
        <x:v>4aeb1a1555f5051ec06a4cc3fc5ae866fcc13194</x:v>
      </x:c>
    </x:row>
    <x:row r="337" ht="86" customHeight="1">
      <x:c r="A337" s="15" t="str">
        <x:v>PP-012</x:v>
      </x:c>
      <x:c r="B337" s="19" t="str">
        <x:v>Pending</x:v>
      </x:c>
      <x:c r="C337" s="15" t="str">
        <x:v>P1</x:v>
      </x:c>
      <x:c r="D337" s="15" t="str">
        <x:v>PlacementPrep</x:v>
      </x:c>
      <x:c r="E337" s="15" t="str">
        <x:v>Combinational logic</x:v>
      </x:c>
      <x:c r="F337" s="15" t="str">
        <x:v>Input combinations and output mapping</x:v>
      </x:c>
      <x:c r="G337" s="15" t="str">
        <x:v>a, b, y</x:v>
      </x:c>
      <x:c r="H337" s="15" t="str">
        <x:v>Drive a, b through binary combinations when small; for vectors use zero, all ones, alternating bits and walking one/zero. Toggle one input at a time and include rapid changes after a previous nonzero result.</x:v>
      </x:c>
      <x:c r="I337" s="15" t="str">
        <x:v>Check y against an independently written truth table. Combinational results must settle without a clock or stale retained values.</x:v>
      </x:c>
      <x:c r="J337" s="17"/>
      <x:c r="K337" s="24"/>
      <x:c r="L337" s="17"/>
      <x:c r="M337" s="17"/>
      <x:c r="N337" s="15" t="str">
        <x:v>src/additions/gate/xor2_from_nor_g.v</x:v>
      </x:c>
      <x:c r="O337" s="26" t="str">
        <x:v>https://github.com/kapiltrip/PlacementPrep/blob/4aeb1a1555f5051ec06a4cc3fc5ae866fcc13194/src/additions/gate/xor2_from_nor_g.v</x:v>
      </x:c>
      <x:c r="P337" s="15" t="str">
        <x:f>IF(B337="Done",IF(OR(J337="",K337="",L337=""),"Add run evidence","Recorded"),IF(OR(B337="Blocked",B337="N/A"),IF(M337="","Add reason","Reason recorded"),""))</x:f>
      </x:c>
      <x:c r="Q337" s="15" t="str">
        <x:v>4aeb1a1555f5051ec06a4cc3fc5ae866fcc13194</x:v>
      </x:c>
    </x:row>
    <x:row r="338" ht="86" customHeight="1">
      <x:c r="A338" s="4" t="str">
        <x:v>PP-013</x:v>
      </x:c>
      <x:c r="B338" s="19" t="str">
        <x:v>Pending</x:v>
      </x:c>
      <x:c r="C338" s="4" t="str">
        <x:v>P1</x:v>
      </x:c>
      <x:c r="D338" s="4" t="str">
        <x:v>PlacementPrep</x:v>
      </x:c>
      <x:c r="E338" s="4" t="str">
        <x:v>Combinational logic</x:v>
      </x:c>
      <x:c r="F338" s="4" t="str">
        <x:v>Input combinations and output mapping</x:v>
      </x:c>
      <x:c r="G338" s="4" t="str">
        <x:v>a, b, y</x:v>
      </x:c>
      <x:c r="H338" s="4" t="str">
        <x:v>Drive a, b through binary combinations when small; for vectors use zero, all ones, alternating bits and walking one/zero. Toggle one input at a time and include rapid changes after a previous nonzero result.</x:v>
      </x:c>
      <x:c r="I338" s="4" t="str">
        <x:v>Check y against an independently written truth table. Combinational results must settle without a clock or stale retained values.</x:v>
      </x:c>
      <x:c r="J338" s="17"/>
      <x:c r="K338" s="24"/>
      <x:c r="L338" s="17"/>
      <x:c r="M338" s="17"/>
      <x:c r="N338" s="4" t="str">
        <x:v>src/additions/gate/xor2_g.v</x:v>
      </x:c>
      <x:c r="O338" s="25" t="str">
        <x:v>https://github.com/kapiltrip/PlacementPrep/blob/4aeb1a1555f5051ec06a4cc3fc5ae866fcc13194/src/additions/gate/xor2_g.v</x:v>
      </x:c>
      <x:c r="P338" s="4" t="str">
        <x:f>IF(B338="Done",IF(OR(J338="",K338="",L338=""),"Add run evidence","Recorded"),IF(OR(B338="Blocked",B338="N/A"),IF(M338="","Add reason","Reason recorded"),""))</x:f>
      </x:c>
      <x:c r="Q338" s="4" t="str">
        <x:v>4aeb1a1555f5051ec06a4cc3fc5ae866fcc13194</x:v>
      </x:c>
    </x:row>
    <x:row r="339" ht="86" customHeight="1">
      <x:c r="A339" s="15" t="str">
        <x:v>PP-014</x:v>
      </x:c>
      <x:c r="B339" s="19" t="str">
        <x:v>Pending</x:v>
      </x:c>
      <x:c r="C339" s="15" t="str">
        <x:v>P1</x:v>
      </x:c>
      <x:c r="D339" s="15" t="str">
        <x:v>PlacementPrep</x:v>
      </x:c>
      <x:c r="E339" s="15" t="str">
        <x:v>Combinational logic</x:v>
      </x:c>
      <x:c r="F339" s="15" t="str">
        <x:v>Input combinations and output mapping</x:v>
      </x:c>
      <x:c r="G339" s="15" t="str">
        <x:v>a, b, y</x:v>
      </x:c>
      <x:c r="H339" s="15" t="str">
        <x:v>Drive a, b through binary combinations when small; for vectors use zero, all ones, alternating bits and walking one/zero. Toggle one input at a time and include rapid changes after a previous nonzero result.</x:v>
      </x:c>
      <x:c r="I339" s="15" t="str">
        <x:v>Check y against an independently written truth table. Combinational results must settle without a clock or stale retained values.</x:v>
      </x:c>
      <x:c r="J339" s="17"/>
      <x:c r="K339" s="24"/>
      <x:c r="L339" s="17"/>
      <x:c r="M339" s="17"/>
      <x:c r="N339" s="15" t="str">
        <x:v>src/behavioral/and2_b.v</x:v>
      </x:c>
      <x:c r="O339" s="26" t="str">
        <x:v>https://github.com/kapiltrip/PlacementPrep/blob/4aeb1a1555f5051ec06a4cc3fc5ae866fcc13194/src/behavioral/and2_b.v</x:v>
      </x:c>
      <x:c r="P339" s="15" t="str">
        <x:f>IF(B339="Done",IF(OR(J339="",K339="",L339=""),"Add run evidence","Recorded"),IF(OR(B339="Blocked",B339="N/A"),IF(M339="","Add reason","Reason recorded"),""))</x:f>
      </x:c>
      <x:c r="Q339" s="15" t="str">
        <x:v>4aeb1a1555f5051ec06a4cc3fc5ae866fcc13194</x:v>
      </x:c>
    </x:row>
    <x:row r="340" ht="86" customHeight="1">
      <x:c r="A340" s="4" t="str">
        <x:v>PP-015</x:v>
      </x:c>
      <x:c r="B340" s="19" t="str">
        <x:v>Pending</x:v>
      </x:c>
      <x:c r="C340" s="4" t="str">
        <x:v>P1</x:v>
      </x:c>
      <x:c r="D340" s="4" t="str">
        <x:v>PlacementPrep</x:v>
      </x:c>
      <x:c r="E340" s="4" t="str">
        <x:v>Multiplexer</x:v>
      </x:c>
      <x:c r="F340" s="4" t="str">
        <x:v>Every select and unselected-input isolation</x:v>
      </x:c>
      <x:c r="G340" s="4" t="str">
        <x:v>a, b, sel, y</x:v>
      </x:c>
      <x:c r="H340" s="4" t="str">
        <x:v>Sweep sel through all encodings; set data inputs to distinguishable patterns, then toggle only unselected inputs.</x:v>
      </x:c>
      <x:c r="I340" s="4" t="str">
        <x:v>y equals the selected input. Exercise selected values 0 and 1 and vector extremes. Unselected changes do not affect the result; verify the default mapping for unused encodings.</x:v>
      </x:c>
      <x:c r="J340" s="17"/>
      <x:c r="K340" s="24"/>
      <x:c r="L340" s="17"/>
      <x:c r="M340" s="17"/>
      <x:c r="N340" s="4" t="str">
        <x:v>src/behavioral/mux2_b.v</x:v>
      </x:c>
      <x:c r="O340" s="25" t="str">
        <x:v>https://github.com/kapiltrip/PlacementPrep/blob/4aeb1a1555f5051ec06a4cc3fc5ae866fcc13194/src/behavioral/mux2_b.v</x:v>
      </x:c>
      <x:c r="P340" s="4" t="str">
        <x:f>IF(B340="Done",IF(OR(J340="",K340="",L340=""),"Add run evidence","Recorded"),IF(OR(B340="Blocked",B340="N/A"),IF(M340="","Add reason","Reason recorded"),""))</x:f>
      </x:c>
      <x:c r="Q340" s="4" t="str">
        <x:v>4aeb1a1555f5051ec06a4cc3fc5ae866fcc13194</x:v>
      </x:c>
    </x:row>
    <x:row r="341" ht="86" customHeight="1">
      <x:c r="A341" s="15" t="str">
        <x:v>PP-016</x:v>
      </x:c>
      <x:c r="B341" s="19" t="str">
        <x:v>Pending</x:v>
      </x:c>
      <x:c r="C341" s="15" t="str">
        <x:v>P1</x:v>
      </x:c>
      <x:c r="D341" s="15" t="str">
        <x:v>PlacementPrep</x:v>
      </x:c>
      <x:c r="E341" s="15" t="str">
        <x:v>Combinational logic</x:v>
      </x:c>
      <x:c r="F341" s="15" t="str">
        <x:v>Input combinations and output mapping</x:v>
      </x:c>
      <x:c r="G341" s="15" t="str">
        <x:v>a, y</x:v>
      </x:c>
      <x:c r="H341" s="15" t="str">
        <x:v>Drive a through binary combinations when small; for vectors use zero, all ones, alternating bits and walking one/zero. Toggle one input at a time and include rapid changes after a previous nonzero result.</x:v>
      </x:c>
      <x:c r="I341" s="15" t="str">
        <x:v>Check y against an independently written truth table. Combinational results must settle without a clock or stale retained values.</x:v>
      </x:c>
      <x:c r="J341" s="17"/>
      <x:c r="K341" s="24"/>
      <x:c r="L341" s="17"/>
      <x:c r="M341" s="17"/>
      <x:c r="N341" s="15" t="str">
        <x:v>src/behavioral/not1_b.v</x:v>
      </x:c>
      <x:c r="O341" s="26" t="str">
        <x:v>https://github.com/kapiltrip/PlacementPrep/blob/4aeb1a1555f5051ec06a4cc3fc5ae866fcc13194/src/behavioral/not1_b.v</x:v>
      </x:c>
      <x:c r="P341" s="15" t="str">
        <x:f>IF(B341="Done",IF(OR(J341="",K341="",L341=""),"Add run evidence","Recorded"),IF(OR(B341="Blocked",B341="N/A"),IF(M341="","Add reason","Reason recorded"),""))</x:f>
      </x:c>
      <x:c r="Q341" s="15" t="str">
        <x:v>4aeb1a1555f5051ec06a4cc3fc5ae866fcc13194</x:v>
      </x:c>
    </x:row>
    <x:row r="342" ht="86" customHeight="1">
      <x:c r="A342" s="4" t="str">
        <x:v>PP-017</x:v>
      </x:c>
      <x:c r="B342" s="19" t="str">
        <x:v>Pending</x:v>
      </x:c>
      <x:c r="C342" s="4" t="str">
        <x:v>P1</x:v>
      </x:c>
      <x:c r="D342" s="4" t="str">
        <x:v>PlacementPrep</x:v>
      </x:c>
      <x:c r="E342" s="4" t="str">
        <x:v>Combinational logic</x:v>
      </x:c>
      <x:c r="F342" s="4" t="str">
        <x:v>Input combinations and output mapping</x:v>
      </x:c>
      <x:c r="G342" s="4" t="str">
        <x:v>a, b, y</x:v>
      </x:c>
      <x:c r="H342" s="4" t="str">
        <x:v>Drive a, b through binary combinations when small; for vectors use zero, all ones, alternating bits and walking one/zero. Toggle one input at a time and include rapid changes after a previous nonzero result.</x:v>
      </x:c>
      <x:c r="I342" s="4" t="str">
        <x:v>Check y against an independently written truth table. Combinational results must settle without a clock or stale retained values.</x:v>
      </x:c>
      <x:c r="J342" s="17"/>
      <x:c r="K342" s="24"/>
      <x:c r="L342" s="17"/>
      <x:c r="M342" s="17"/>
      <x:c r="N342" s="4" t="str">
        <x:v>src/behavioral/or2_b.v</x:v>
      </x:c>
      <x:c r="O342" s="25" t="str">
        <x:v>https://github.com/kapiltrip/PlacementPrep/blob/4aeb1a1555f5051ec06a4cc3fc5ae866fcc13194/src/behavioral/or2_b.v</x:v>
      </x:c>
      <x:c r="P342" s="4" t="str">
        <x:f>IF(B342="Done",IF(OR(J342="",K342="",L342=""),"Add run evidence","Recorded"),IF(OR(B342="Blocked",B342="N/A"),IF(M342="","Add reason","Reason recorded"),""))</x:f>
      </x:c>
      <x:c r="Q342" s="4" t="str">
        <x:v>4aeb1a1555f5051ec06a4cc3fc5ae866fcc13194</x:v>
      </x:c>
    </x:row>
    <x:row r="343" ht="86" customHeight="1">
      <x:c r="A343" s="15" t="str">
        <x:v>PP-018</x:v>
      </x:c>
      <x:c r="B343" s="19" t="str">
        <x:v>Pending</x:v>
      </x:c>
      <x:c r="C343" s="15" t="str">
        <x:v>P1</x:v>
      </x:c>
      <x:c r="D343" s="15" t="str">
        <x:v>PlacementPrep</x:v>
      </x:c>
      <x:c r="E343" s="15" t="str">
        <x:v>Tri-state bus</x:v>
      </x:c>
      <x:c r="F343" s="15" t="str">
        <x:v>Drive, release and contention</x:v>
      </x:c>
      <x:c r="G343" s="15" t="str">
        <x:v>en, a, y</x:v>
      </x:c>
      <x:c r="H343" s="15" t="str">
        <x:v>Exercise en, a, y; allow one external driver at a time, test each direction/enable, then release both. Isolate a conflicting-drive negative run.</x:v>
      </x:c>
      <x:c r="I343" s="15" t="str">
        <x:v>Enabled path forwards the source, disabled path is high impedance, and conflicting equal-strength binary drives resolve to X. Do not replace four-state checks with two-state equality.</x:v>
      </x:c>
      <x:c r="J343" s="17"/>
      <x:c r="K343" s="24"/>
      <x:c r="L343" s="17"/>
      <x:c r="M343" s="17"/>
      <x:c r="N343" s="15" t="str">
        <x:v>src/behavioral/tri_buf_b.v</x:v>
      </x:c>
      <x:c r="O343" s="26" t="str">
        <x:v>https://github.com/kapiltrip/PlacementPrep/blob/4aeb1a1555f5051ec06a4cc3fc5ae866fcc13194/src/behavioral/tri_buf_b.v</x:v>
      </x:c>
      <x:c r="P343" s="15" t="str">
        <x:f>IF(B343="Done",IF(OR(J343="",K343="",L343=""),"Add run evidence","Recorded"),IF(OR(B343="Blocked",B343="N/A"),IF(M343="","Add reason","Reason recorded"),""))</x:f>
      </x:c>
      <x:c r="Q343" s="15" t="str">
        <x:v>4aeb1a1555f5051ec06a4cc3fc5ae866fcc13194</x:v>
      </x:c>
    </x:row>
    <x:row r="344" ht="86" customHeight="1">
      <x:c r="A344" s="4" t="str">
        <x:v>PP-019</x:v>
      </x:c>
      <x:c r="B344" s="19" t="str">
        <x:v>Pending</x:v>
      </x:c>
      <x:c r="C344" s="4" t="str">
        <x:v>P1</x:v>
      </x:c>
      <x:c r="D344" s="4" t="str">
        <x:v>PlacementPrep</x:v>
      </x:c>
      <x:c r="E344" s="4" t="str">
        <x:v>Combinational logic</x:v>
      </x:c>
      <x:c r="F344" s="4" t="str">
        <x:v>Input combinations and output mapping</x:v>
      </x:c>
      <x:c r="G344" s="4" t="str">
        <x:v>a, b, y</x:v>
      </x:c>
      <x:c r="H344" s="4" t="str">
        <x:v>Drive a, b through binary combinations when small; for vectors use zero, all ones, alternating bits and walking one/zero. Toggle one input at a time and include rapid changes after a previous nonzero result.</x:v>
      </x:c>
      <x:c r="I344" s="4" t="str">
        <x:v>Check y against an independently written truth table. Combinational results must settle without a clock or stale retained values.</x:v>
      </x:c>
      <x:c r="J344" s="17"/>
      <x:c r="K344" s="24"/>
      <x:c r="L344" s="17"/>
      <x:c r="M344" s="17"/>
      <x:c r="N344" s="4" t="str">
        <x:v>src/behavioral/xnor2_b.v</x:v>
      </x:c>
      <x:c r="O344" s="25" t="str">
        <x:v>https://github.com/kapiltrip/PlacementPrep/blob/4aeb1a1555f5051ec06a4cc3fc5ae866fcc13194/src/behavioral/xnor2_b.v</x:v>
      </x:c>
      <x:c r="P344" s="4" t="str">
        <x:f>IF(B344="Done",IF(OR(J344="",K344="",L344=""),"Add run evidence","Recorded"),IF(OR(B344="Blocked",B344="N/A"),IF(M344="","Add reason","Reason recorded"),""))</x:f>
      </x:c>
      <x:c r="Q344" s="4" t="str">
        <x:v>4aeb1a1555f5051ec06a4cc3fc5ae866fcc13194</x:v>
      </x:c>
    </x:row>
    <x:row r="345" ht="86" customHeight="1">
      <x:c r="A345" s="15" t="str">
        <x:v>PP-020</x:v>
      </x:c>
      <x:c r="B345" s="19" t="str">
        <x:v>Pending</x:v>
      </x:c>
      <x:c r="C345" s="15" t="str">
        <x:v>P1</x:v>
      </x:c>
      <x:c r="D345" s="15" t="str">
        <x:v>PlacementPrep</x:v>
      </x:c>
      <x:c r="E345" s="15" t="str">
        <x:v>Combinational logic</x:v>
      </x:c>
      <x:c r="F345" s="15" t="str">
        <x:v>Input combinations and output mapping</x:v>
      </x:c>
      <x:c r="G345" s="15" t="str">
        <x:v>a, b, y</x:v>
      </x:c>
      <x:c r="H345" s="15" t="str">
        <x:v>Drive a, b through binary combinations when small; for vectors use zero, all ones, alternating bits and walking one/zero. Toggle one input at a time and include rapid changes after a previous nonzero result.</x:v>
      </x:c>
      <x:c r="I345" s="15" t="str">
        <x:v>Check y against an independently written truth table. Combinational results must settle without a clock or stale retained values.</x:v>
      </x:c>
      <x:c r="J345" s="17"/>
      <x:c r="K345" s="24"/>
      <x:c r="L345" s="17"/>
      <x:c r="M345" s="17"/>
      <x:c r="N345" s="15" t="str">
        <x:v>src/behavioral/xor2_b.v</x:v>
      </x:c>
      <x:c r="O345" s="26" t="str">
        <x:v>https://github.com/kapiltrip/PlacementPrep/blob/4aeb1a1555f5051ec06a4cc3fc5ae866fcc13194/src/behavioral/xor2_b.v</x:v>
      </x:c>
      <x:c r="P345" s="15" t="str">
        <x:f>IF(B345="Done",IF(OR(J345="",K345="",L345=""),"Add run evidence","Recorded"),IF(OR(B345="Blocked",B345="N/A"),IF(M345="","Add reason","Reason recorded"),""))</x:f>
      </x:c>
      <x:c r="Q345" s="15" t="str">
        <x:v>4aeb1a1555f5051ec06a4cc3fc5ae866fcc13194</x:v>
      </x:c>
    </x:row>
    <x:row r="346" ht="124" customHeight="1">
      <x:c r="A346" s="4" t="str">
        <x:v>PP-021</x:v>
      </x:c>
      <x:c r="B346" s="19" t="str">
        <x:v>Pending</x:v>
      </x:c>
      <x:c r="C346" s="4" t="str">
        <x:v>P1</x:v>
      </x:c>
      <x:c r="D346" s="4" t="str">
        <x:v>PlacementPrep</x:v>
      </x:c>
      <x:c r="E346" s="4" t="str">
        <x:v>Arithmetic</x:v>
      </x:c>
      <x:c r="F346" s="4" t="str">
        <x:v>Arithmetic, carry/borrow and width</x:v>
      </x:c>
      <x:c r="G346" s="4" t="str">
        <x:v>a, b, cin, sum, cout, carry</x:v>
      </x:c>
      <x:c r="H346" s="4" t="str">
        <x:v>Exercise a, b, cin at zero, one, maximum, alternating patterns and long carry/borrow chains. Exhaust all combinations for small widths; include both carry-in/subtract settings when present.</x:v>
      </x:c>
      <x:c r="I346" s="4" t="str">
        <x:v>Compute the integer arithmetic independently, then apply the declared result width. Check every sum, cout, carry bit including carry, borrow or signed overflow where exposed. Carry-out and signed overflow are different.  Source mapping: carry[0] = cin; carry[1] = g[0] | (p[0] &amp; carry[0]); carry[2] = g[1] | (p[1] &amp; g[0]) | (p[1] &amp; p[0] &amp; carry[0]); carry[3] = g[2] | (p[2] &amp; g[1]) | (p[2] &amp; p[1] &amp; g[0]) | (p[2] &amp; p[1] &amp; p[0] &amp; carry[0]); cout = g[3] | (p[3] &amp; g[2]) | (p[3] &amp; p[2] &amp; g[1]) | (p[3] &amp; p[2] &amp; p[1] &amp; g[0]) | (p[3] &amp; p[2] &amp; p[1] &amp; p[0] &amp; carry[0]); sum = p ^ carry.</x:v>
      </x:c>
      <x:c r="J346" s="17"/>
      <x:c r="K346" s="24"/>
      <x:c r="L346" s="17"/>
      <x:c r="M346" s="17"/>
      <x:c r="N346" s="4" t="str">
        <x:v>src/combinational/arithmetic/carry_lookahead_adder4.v</x:v>
      </x:c>
      <x:c r="O346" s="25" t="str">
        <x:v>https://github.com/kapiltrip/PlacementPrep/blob/4aeb1a1555f5051ec06a4cc3fc5ae866fcc13194/src/combinational/arithmetic/carry_lookahead_adder4.v</x:v>
      </x:c>
      <x:c r="P346" s="4" t="str">
        <x:f>IF(B346="Done",IF(OR(J346="",K346="",L346=""),"Add run evidence","Recorded"),IF(OR(B346="Blocked",B346="N/A"),IF(M346="","Add reason","Reason recorded"),""))</x:f>
      </x:c>
      <x:c r="Q346" s="4" t="str">
        <x:v>4aeb1a1555f5051ec06a4cc3fc5ae866fcc13194</x:v>
      </x:c>
    </x:row>
    <x:row r="347" ht="86" customHeight="1">
      <x:c r="A347" s="15" t="str">
        <x:v>PP-022</x:v>
      </x:c>
      <x:c r="B347" s="19" t="str">
        <x:v>Pending</x:v>
      </x:c>
      <x:c r="C347" s="15" t="str">
        <x:v>P1</x:v>
      </x:c>
      <x:c r="D347" s="15" t="str">
        <x:v>PlacementPrep</x:v>
      </x:c>
      <x:c r="E347" s="15" t="str">
        <x:v>Arithmetic</x:v>
      </x:c>
      <x:c r="F347" s="15" t="str">
        <x:v>Arithmetic, carry/borrow and width</x:v>
      </x:c>
      <x:c r="G347" s="15" t="str">
        <x:v>a, b, cin, sum, cout, propagate, generate</x:v>
      </x:c>
      <x:c r="H347" s="15" t="str">
        <x:v>Exercise a, b, cin at zero, one, maximum, alternating patterns and long carry/borrow chains. Exhaust all combinations for small widths; include both carry-in/subtract settings when present.</x:v>
      </x:c>
      <x:c r="I347" s="15" t="str">
        <x:v>Compute the integer arithmetic independently, then apply the declared result width. Check every sum, cout, propagate, generate bit including carry, borrow or signed overflow where exposed. Carry-out and signed overflow are different.  Source mapping: propagate = a ^ b; generate = a &amp; b; sum = propagate ^ cin; cout = generate | (propagate &amp; cin).</x:v>
      </x:c>
      <x:c r="J347" s="17"/>
      <x:c r="K347" s="24"/>
      <x:c r="L347" s="17"/>
      <x:c r="M347" s="17"/>
      <x:c r="N347" s="15" t="str">
        <x:v>src/combinational/arithmetic/full_adder.v</x:v>
      </x:c>
      <x:c r="O347" s="26" t="str">
        <x:v>https://github.com/kapiltrip/PlacementPrep/blob/4aeb1a1555f5051ec06a4cc3fc5ae866fcc13194/src/combinational/arithmetic/full_adder.v</x:v>
      </x:c>
      <x:c r="P347" s="15" t="str">
        <x:f>IF(B347="Done",IF(OR(J347="",K347="",L347=""),"Add run evidence","Recorded"),IF(OR(B347="Blocked",B347="N/A"),IF(M347="","Add reason","Reason recorded"),""))</x:f>
      </x:c>
      <x:c r="Q347" s="15" t="str">
        <x:v>4aeb1a1555f5051ec06a4cc3fc5ae866fcc13194</x:v>
      </x:c>
    </x:row>
    <x:row r="348" ht="86" customHeight="1">
      <x:c r="A348" s="4" t="str">
        <x:v>PP-023</x:v>
      </x:c>
      <x:c r="B348" s="19" t="str">
        <x:v>Pending</x:v>
      </x:c>
      <x:c r="C348" s="4" t="str">
        <x:v>P1</x:v>
      </x:c>
      <x:c r="D348" s="4" t="str">
        <x:v>PlacementPrep</x:v>
      </x:c>
      <x:c r="E348" s="4" t="str">
        <x:v>Arithmetic</x:v>
      </x:c>
      <x:c r="F348" s="4" t="str">
        <x:v>Arithmetic, carry/borrow and width</x:v>
      </x:c>
      <x:c r="G348" s="4" t="str">
        <x:v>a, b, cin, sum, cout</x:v>
      </x:c>
      <x:c r="H348" s="4" t="str">
        <x:v>Exercise a, b, cin at zero, one, maximum, alternating patterns and long carry/borrow chains. Exhaust all combinations for small widths; include both carry-in/subtract settings when present.</x:v>
      </x:c>
      <x:c r="I348" s="4" t="str">
        <x:v>Compute the integer arithmetic independently, then apply the declared result width. Check every sum, cout bit including carry, borrow or signed overflow where exposed. Carry-out and signed overflow are different.  Source mapping: cout = c1 | c2.</x:v>
      </x:c>
      <x:c r="J348" s="17"/>
      <x:c r="K348" s="24"/>
      <x:c r="L348" s="17"/>
      <x:c r="M348" s="17"/>
      <x:c r="N348" s="4" t="str">
        <x:v>src/combinational/arithmetic/full_adder_from_half.v</x:v>
      </x:c>
      <x:c r="O348" s="25" t="str">
        <x:v>https://github.com/kapiltrip/PlacementPrep/blob/4aeb1a1555f5051ec06a4cc3fc5ae866fcc13194/src/combinational/arithmetic/full_adder_from_half.v</x:v>
      </x:c>
      <x:c r="P348" s="4" t="str">
        <x:f>IF(B348="Done",IF(OR(J348="",K348="",L348=""),"Add run evidence","Recorded"),IF(OR(B348="Blocked",B348="N/A"),IF(M348="","Add reason","Reason recorded"),""))</x:f>
      </x:c>
      <x:c r="Q348" s="4" t="str">
        <x:v>4aeb1a1555f5051ec06a4cc3fc5ae866fcc13194</x:v>
      </x:c>
    </x:row>
    <x:row r="349" ht="86" customHeight="1">
      <x:c r="A349" s="15" t="str">
        <x:v>PP-024</x:v>
      </x:c>
      <x:c r="B349" s="19" t="str">
        <x:v>Pending</x:v>
      </x:c>
      <x:c r="C349" s="15" t="str">
        <x:v>P1</x:v>
      </x:c>
      <x:c r="D349" s="15" t="str">
        <x:v>PlacementPrep</x:v>
      </x:c>
      <x:c r="E349" s="15" t="str">
        <x:v>Arithmetic</x:v>
      </x:c>
      <x:c r="F349" s="15" t="str">
        <x:v>Arithmetic, carry/borrow and width</x:v>
      </x:c>
      <x:c r="G349" s="15" t="str">
        <x:v>a, b, bin, diff, bout</x:v>
      </x:c>
      <x:c r="H349" s="15" t="str">
        <x:v>Exercise a, b, bin at zero, one, maximum, alternating patterns and long carry/borrow chains. Exhaust all combinations for small widths; include both carry-in/subtract settings when present.</x:v>
      </x:c>
      <x:c r="I349" s="15" t="str">
        <x:v>Compute the integer arithmetic independently, then apply the declared result width. Check every diff, bout bit including carry, borrow or signed overflow where exposed. Carry-out and signed overflow are different.  Source mapping: diff = a ^ b ^ bin; bout = (~a &amp; b) | ((~a ^ b) &amp; bin).</x:v>
      </x:c>
      <x:c r="J349" s="17"/>
      <x:c r="K349" s="24"/>
      <x:c r="L349" s="17"/>
      <x:c r="M349" s="17"/>
      <x:c r="N349" s="15" t="str">
        <x:v>src/combinational/arithmetic/full_subtractor.v</x:v>
      </x:c>
      <x:c r="O349" s="26" t="str">
        <x:v>https://github.com/kapiltrip/PlacementPrep/blob/4aeb1a1555f5051ec06a4cc3fc5ae866fcc13194/src/combinational/arithmetic/full_subtractor.v</x:v>
      </x:c>
      <x:c r="P349" s="15" t="str">
        <x:f>IF(B349="Done",IF(OR(J349="",K349="",L349=""),"Add run evidence","Recorded"),IF(OR(B349="Blocked",B349="N/A"),IF(M349="","Add reason","Reason recorded"),""))</x:f>
      </x:c>
      <x:c r="Q349" s="15" t="str">
        <x:v>4aeb1a1555f5051ec06a4cc3fc5ae866fcc13194</x:v>
      </x:c>
    </x:row>
    <x:row r="350" ht="86" customHeight="1">
      <x:c r="A350" s="4" t="str">
        <x:v>PP-025</x:v>
      </x:c>
      <x:c r="B350" s="19" t="str">
        <x:v>Pending</x:v>
      </x:c>
      <x:c r="C350" s="4" t="str">
        <x:v>P1</x:v>
      </x:c>
      <x:c r="D350" s="4" t="str">
        <x:v>PlacementPrep</x:v>
      </x:c>
      <x:c r="E350" s="4" t="str">
        <x:v>Arithmetic</x:v>
      </x:c>
      <x:c r="F350" s="4" t="str">
        <x:v>Arithmetic, carry/borrow and width</x:v>
      </x:c>
      <x:c r="G350" s="4" t="str">
        <x:v>a, b, bin, diff, bout</x:v>
      </x:c>
      <x:c r="H350" s="4" t="str">
        <x:v>Exercise a, b, bin at zero, one, maximum, alternating patterns and long carry/borrow chains. Exhaust all combinations for small widths; include both carry-in/subtract settings when present.</x:v>
      </x:c>
      <x:c r="I350" s="4" t="str">
        <x:v>Compute the integer arithmetic independently, then apply the declared result width. Check every diff, bout bit including carry, borrow or signed overflow where exposed. Carry-out and signed overflow are different.  Source mapping: bout = b1 | b2.</x:v>
      </x:c>
      <x:c r="J350" s="17"/>
      <x:c r="K350" s="24"/>
      <x:c r="L350" s="17"/>
      <x:c r="M350" s="17"/>
      <x:c r="N350" s="4" t="str">
        <x:v>src/combinational/arithmetic/full_subtractor_from_half.v</x:v>
      </x:c>
      <x:c r="O350" s="25" t="str">
        <x:v>https://github.com/kapiltrip/PlacementPrep/blob/4aeb1a1555f5051ec06a4cc3fc5ae866fcc13194/src/combinational/arithmetic/full_subtractor_from_half.v</x:v>
      </x:c>
      <x:c r="P350" s="4" t="str">
        <x:f>IF(B350="Done",IF(OR(J350="",K350="",L350=""),"Add run evidence","Recorded"),IF(OR(B350="Blocked",B350="N/A"),IF(M350="","Add reason","Reason recorded"),""))</x:f>
      </x:c>
      <x:c r="Q350" s="4" t="str">
        <x:v>4aeb1a1555f5051ec06a4cc3fc5ae866fcc13194</x:v>
      </x:c>
    </x:row>
    <x:row r="351" ht="86" customHeight="1">
      <x:c r="A351" s="15" t="str">
        <x:v>PP-026</x:v>
      </x:c>
      <x:c r="B351" s="19" t="str">
        <x:v>Pending</x:v>
      </x:c>
      <x:c r="C351" s="15" t="str">
        <x:v>P1</x:v>
      </x:c>
      <x:c r="D351" s="15" t="str">
        <x:v>PlacementPrep</x:v>
      </x:c>
      <x:c r="E351" s="15" t="str">
        <x:v>Arithmetic</x:v>
      </x:c>
      <x:c r="F351" s="15" t="str">
        <x:v>Arithmetic, carry/borrow and width</x:v>
      </x:c>
      <x:c r="G351" s="15" t="str">
        <x:v>a, b, sum, carry</x:v>
      </x:c>
      <x:c r="H351" s="15" t="str">
        <x:v>Exercise a, b at zero, one, maximum, alternating patterns and long carry/borrow chains. Exhaust all combinations for small widths; include both carry-in/subtract settings when present.</x:v>
      </x:c>
      <x:c r="I351" s="15" t="str">
        <x:v>Compute the integer arithmetic independently, then apply the declared result width. Check every sum, carry bit including carry, borrow or signed overflow where exposed. Carry-out and signed overflow are different.  Source mapping: sum = a ^ b; carry = a &amp; b.</x:v>
      </x:c>
      <x:c r="J351" s="17"/>
      <x:c r="K351" s="24"/>
      <x:c r="L351" s="17"/>
      <x:c r="M351" s="17"/>
      <x:c r="N351" s="15" t="str">
        <x:v>src/combinational/arithmetic/half_adder.v</x:v>
      </x:c>
      <x:c r="O351" s="26" t="str">
        <x:v>https://github.com/kapiltrip/PlacementPrep/blob/4aeb1a1555f5051ec06a4cc3fc5ae866fcc13194/src/combinational/arithmetic/half_adder.v</x:v>
      </x:c>
      <x:c r="P351" s="15" t="str">
        <x:f>IF(B351="Done",IF(OR(J351="",K351="",L351=""),"Add run evidence","Recorded"),IF(OR(B351="Blocked",B351="N/A"),IF(M351="","Add reason","Reason recorded"),""))</x:f>
      </x:c>
      <x:c r="Q351" s="15" t="str">
        <x:v>4aeb1a1555f5051ec06a4cc3fc5ae866fcc13194</x:v>
      </x:c>
    </x:row>
    <x:row r="352" ht="86" customHeight="1">
      <x:c r="A352" s="4" t="str">
        <x:v>PP-027</x:v>
      </x:c>
      <x:c r="B352" s="19" t="str">
        <x:v>Pending</x:v>
      </x:c>
      <x:c r="C352" s="4" t="str">
        <x:v>P1</x:v>
      </x:c>
      <x:c r="D352" s="4" t="str">
        <x:v>PlacementPrep</x:v>
      </x:c>
      <x:c r="E352" s="4" t="str">
        <x:v>Arithmetic</x:v>
      </x:c>
      <x:c r="F352" s="4" t="str">
        <x:v>Arithmetic, carry/borrow and width</x:v>
      </x:c>
      <x:c r="G352" s="4" t="str">
        <x:v>a, b, diff, borrow</x:v>
      </x:c>
      <x:c r="H352" s="4" t="str">
        <x:v>Exercise a, b at zero, one, maximum, alternating patterns and long carry/borrow chains. Exhaust all combinations for small widths; include both carry-in/subtract settings when present.</x:v>
      </x:c>
      <x:c r="I352" s="4" t="str">
        <x:v>Compute the integer arithmetic independently, then apply the declared result width. Check every diff, borrow bit including carry, borrow or signed overflow where exposed. Carry-out and signed overflow are different.  Source mapping: diff = a ^ b; borrow = (~a) &amp; b.</x:v>
      </x:c>
      <x:c r="J352" s="17"/>
      <x:c r="K352" s="24"/>
      <x:c r="L352" s="17"/>
      <x:c r="M352" s="17"/>
      <x:c r="N352" s="4" t="str">
        <x:v>src/combinational/arithmetic/half_subtractor.v</x:v>
      </x:c>
      <x:c r="O352" s="25" t="str">
        <x:v>https://github.com/kapiltrip/PlacementPrep/blob/4aeb1a1555f5051ec06a4cc3fc5ae866fcc13194/src/combinational/arithmetic/half_subtractor.v</x:v>
      </x:c>
      <x:c r="P352" s="4" t="str">
        <x:f>IF(B352="Done",IF(OR(J352="",K352="",L352=""),"Add run evidence","Recorded"),IF(OR(B352="Blocked",B352="N/A"),IF(M352="","Add reason","Reason recorded"),""))</x:f>
      </x:c>
      <x:c r="Q352" s="4" t="str">
        <x:v>4aeb1a1555f5051ec06a4cc3fc5ae866fcc13194</x:v>
      </x:c>
    </x:row>
    <x:row r="353" ht="86" customHeight="1">
      <x:c r="A353" s="15" t="str">
        <x:v>PP-028</x:v>
      </x:c>
      <x:c r="B353" s="19" t="str">
        <x:v>Pending</x:v>
      </x:c>
      <x:c r="C353" s="15" t="str">
        <x:v>P1</x:v>
      </x:c>
      <x:c r="D353" s="15" t="str">
        <x:v>PlacementPrep</x:v>
      </x:c>
      <x:c r="E353" s="15" t="str">
        <x:v>Arithmetic</x:v>
      </x:c>
      <x:c r="F353" s="15" t="str">
        <x:v>Arithmetic, carry/borrow and width</x:v>
      </x:c>
      <x:c r="G353" s="15" t="str">
        <x:v>a, b, cin, sum, cout</x:v>
      </x:c>
      <x:c r="H353" s="15" t="str">
        <x:v>Exercise a, b, cin at zero, one, maximum, alternating patterns and long carry/borrow chains. Exhaust all combinations for small widths; include both carry-in/subtract settings when present.</x:v>
      </x:c>
      <x:c r="I353" s="15" t="str">
        <x:v>Compute the integer arithmetic independently, then apply the declared result width. Check every sum, cout bit including carry, borrow or signed overflow where exposed. Carry-out and signed overflow are different.  Source mapping: cout = carry[WIDTH].</x:v>
      </x:c>
      <x:c r="J353" s="17"/>
      <x:c r="K353" s="24"/>
      <x:c r="L353" s="17"/>
      <x:c r="M353" s="17"/>
      <x:c r="N353" s="15" t="str">
        <x:v>src/combinational/arithmetic/ripple_carry_adder.v</x:v>
      </x:c>
      <x:c r="O353" s="26" t="str">
        <x:v>https://github.com/kapiltrip/PlacementPrep/blob/4aeb1a1555f5051ec06a4cc3fc5ae866fcc13194/src/combinational/arithmetic/ripple_carry_adder.v</x:v>
      </x:c>
      <x:c r="P353" s="15" t="str">
        <x:f>IF(B353="Done",IF(OR(J353="",K353="",L353=""),"Add run evidence","Recorded"),IF(OR(B353="Blocked",B353="N/A"),IF(M353="","Add reason","Reason recorded"),""))</x:f>
      </x:c>
      <x:c r="Q353" s="15" t="str">
        <x:v>4aeb1a1555f5051ec06a4cc3fc5ae866fcc13194</x:v>
      </x:c>
    </x:row>
    <x:row r="354" ht="86" customHeight="1">
      <x:c r="A354" s="4" t="str">
        <x:v>PP-029</x:v>
      </x:c>
      <x:c r="B354" s="19" t="str">
        <x:v>Pending</x:v>
      </x:c>
      <x:c r="C354" s="4" t="str">
        <x:v>P1</x:v>
      </x:c>
      <x:c r="D354" s="4" t="str">
        <x:v>PlacementPrep</x:v>
      </x:c>
      <x:c r="E354" s="4" t="str">
        <x:v>Arithmetic</x:v>
      </x:c>
      <x:c r="F354" s="4" t="str">
        <x:v>Arithmetic, carry/borrow and width</x:v>
      </x:c>
      <x:c r="G354" s="4" t="str">
        <x:v>a, b, mode, result, cout</x:v>
      </x:c>
      <x:c r="H354" s="4" t="str">
        <x:v>Exercise a, b, mode at zero, one, maximum, alternating patterns and long carry/borrow chains. Exhaust all combinations for small widths; include both carry-in/subtract settings when present.</x:v>
      </x:c>
      <x:c r="I354" s="4" t="str">
        <x:v>Compute the integer arithmetic independently, then apply the declared result width. Check every result, cout bit including carry, borrow or signed overflow where exposed. Carry-out and signed overflow are different. </x:v>
      </x:c>
      <x:c r="J354" s="17"/>
      <x:c r="K354" s="24"/>
      <x:c r="L354" s="17"/>
      <x:c r="M354" s="17"/>
      <x:c r="N354" s="4" t="str">
        <x:v>src/combinational/arithmetic/twos_complement_add_sub.v</x:v>
      </x:c>
      <x:c r="O354" s="25" t="str">
        <x:v>https://github.com/kapiltrip/PlacementPrep/blob/4aeb1a1555f5051ec06a4cc3fc5ae866fcc13194/src/combinational/arithmetic/twos_complement_add_sub.v</x:v>
      </x:c>
      <x:c r="P354" s="4" t="str">
        <x:f>IF(B354="Done",IF(OR(J354="",K354="",L354=""),"Add run evidence","Recorded"),IF(OR(B354="Blocked",B354="N/A"),IF(M354="","Add reason","Reason recorded"),""))</x:f>
      </x:c>
      <x:c r="Q354" s="4" t="str">
        <x:v>4aeb1a1555f5051ec06a4cc3fc5ae866fcc13194</x:v>
      </x:c>
    </x:row>
    <x:row r="355" ht="86" customHeight="1">
      <x:c r="A355" s="15" t="str">
        <x:v>PP-030</x:v>
      </x:c>
      <x:c r="B355" s="19" t="str">
        <x:v>Pending</x:v>
      </x:c>
      <x:c r="C355" s="15" t="str">
        <x:v>P1</x:v>
      </x:c>
      <x:c r="D355" s="15" t="str">
        <x:v>PlacementPrep</x:v>
      </x:c>
      <x:c r="E355" s="15" t="str">
        <x:v>Combinational logic</x:v>
      </x:c>
      <x:c r="F355" s="15" t="str">
        <x:v>Input combinations and output mapping</x:v>
      </x:c>
      <x:c r="G355" s="15" t="str">
        <x:v>a, b, a_gt_b, a_eq_b, a_lt_b</x:v>
      </x:c>
      <x:c r="H355" s="15" t="str">
        <x:v>Drive a, b through binary combinations when small; for vectors use zero, all ones, alternating bits and walking one/zero. Toggle one input at a time and include rapid changes after a previous nonzero result.</x:v>
      </x:c>
      <x:c r="I355" s="15" t="str">
        <x:v>Check a_gt_b, a_eq_b, a_lt_b against an independently written truth table. Combinational results must settle without a clock or stale retained values. Source mapping: a_gt_b = (a &gt; b); a_eq_b = (a == b); a_lt_b = (a &lt; b).</x:v>
      </x:c>
      <x:c r="J355" s="17"/>
      <x:c r="K355" s="24"/>
      <x:c r="L355" s="17"/>
      <x:c r="M355" s="17"/>
      <x:c r="N355" s="15" t="str">
        <x:v>src/combinational/comparators/magnitude_comparator.v</x:v>
      </x:c>
      <x:c r="O355" s="26" t="str">
        <x:v>https://github.com/kapiltrip/PlacementPrep/blob/4aeb1a1555f5051ec06a4cc3fc5ae866fcc13194/src/combinational/comparators/magnitude_comparator.v</x:v>
      </x:c>
      <x:c r="P355" s="15" t="str">
        <x:f>IF(B355="Done",IF(OR(J355="",K355="",L355=""),"Add run evidence","Recorded"),IF(OR(B355="Blocked",B355="N/A"),IF(M355="","Add reason","Reason recorded"),""))</x:f>
      </x:c>
      <x:c r="Q355" s="15" t="str">
        <x:v>4aeb1a1555f5051ec06a4cc3fc5ae866fcc13194</x:v>
      </x:c>
    </x:row>
    <x:row r="356" ht="86" customHeight="1">
      <x:c r="A356" s="4" t="str">
        <x:v>PP-031</x:v>
      </x:c>
      <x:c r="B356" s="19" t="str">
        <x:v>Pending</x:v>
      </x:c>
      <x:c r="C356" s="4" t="str">
        <x:v>P1</x:v>
      </x:c>
      <x:c r="D356" s="4" t="str">
        <x:v>PlacementPrep</x:v>
      </x:c>
      <x:c r="E356" s="4" t="str">
        <x:v>Combinational logic</x:v>
      </x:c>
      <x:c r="F356" s="4" t="str">
        <x:v>Input combinations and output mapping</x:v>
      </x:c>
      <x:c r="G356" s="4" t="str">
        <x:v>bcd, invalid</x:v>
      </x:c>
      <x:c r="H356" s="4" t="str">
        <x:v>Drive bcd through binary combinations when small; for vectors use zero, all ones, alternating bits and walking one/zero. Toggle one input at a time and include rapid changes after a previous nonzero result.</x:v>
      </x:c>
      <x:c r="I356" s="4" t="str">
        <x:v>Check invalid against an independently written truth table. Combinational results must settle without a clock or stale retained values. Source mapping: invalid = (b3 &amp; b2) | (b3 &amp; b1) | (b2 &amp; b1).</x:v>
      </x:c>
      <x:c r="J356" s="17"/>
      <x:c r="K356" s="24"/>
      <x:c r="L356" s="17"/>
      <x:c r="M356" s="17"/>
      <x:c r="N356" s="4" t="str">
        <x:v>src/combinational/detectors/invalid_bcd_detector.v</x:v>
      </x:c>
      <x:c r="O356" s="25" t="str">
        <x:v>https://github.com/kapiltrip/PlacementPrep/blob/4aeb1a1555f5051ec06a4cc3fc5ae866fcc13194/src/combinational/detectors/invalid_bcd_detector.v</x:v>
      </x:c>
      <x:c r="P356" s="4" t="str">
        <x:f>IF(B356="Done",IF(OR(J356="",K356="",L356=""),"Add run evidence","Recorded"),IF(OR(B356="Blocked",B356="N/A"),IF(M356="","Add reason","Reason recorded"),""))</x:f>
      </x:c>
      <x:c r="Q356" s="4" t="str">
        <x:v>4aeb1a1555f5051ec06a4cc3fc5ae866fcc13194</x:v>
      </x:c>
    </x:row>
    <x:row r="357" ht="86" customHeight="1">
      <x:c r="A357" s="15" t="str">
        <x:v>PP-032</x:v>
      </x:c>
      <x:c r="B357" s="19" t="str">
        <x:v>Pending</x:v>
      </x:c>
      <x:c r="C357" s="15" t="str">
        <x:v>P1</x:v>
      </x:c>
      <x:c r="D357" s="15" t="str">
        <x:v>PlacementPrep</x:v>
      </x:c>
      <x:c r="E357" s="15" t="str">
        <x:v>Combinational logic</x:v>
      </x:c>
      <x:c r="F357" s="15" t="str">
        <x:v>Input combinations and output mapping</x:v>
      </x:c>
      <x:c r="G357" s="15" t="str">
        <x:v>a, b, c, majority</x:v>
      </x:c>
      <x:c r="H357" s="15" t="str">
        <x:v>Drive a, b, c through binary combinations when small; for vectors use zero, all ones, alternating bits and walking one/zero. Toggle one input at a time and include rapid changes after a previous nonzero result.</x:v>
      </x:c>
      <x:c r="I357" s="15" t="str">
        <x:v>Check majority against an independently written truth table. Combinational results must settle without a clock or stale retained values. Source mapping: majority = (a &amp; b) | (a &amp; c) | (b &amp; c).</x:v>
      </x:c>
      <x:c r="J357" s="17"/>
      <x:c r="K357" s="24"/>
      <x:c r="L357" s="17"/>
      <x:c r="M357" s="17"/>
      <x:c r="N357" s="15" t="str">
        <x:v>src/combinational/detectors/majority_detector_3.v</x:v>
      </x:c>
      <x:c r="O357" s="26" t="str">
        <x:v>https://github.com/kapiltrip/PlacementPrep/blob/4aeb1a1555f5051ec06a4cc3fc5ae866fcc13194/src/combinational/detectors/majority_detector_3.v</x:v>
      </x:c>
      <x:c r="P357" s="15" t="str">
        <x:f>IF(B357="Done",IF(OR(J357="",K357="",L357=""),"Add run evidence","Recorded"),IF(OR(B357="Blocked",B357="N/A"),IF(M357="","Add reason","Reason recorded"),""))</x:f>
      </x:c>
      <x:c r="Q357" s="15" t="str">
        <x:v>4aeb1a1555f5051ec06a4cc3fc5ae866fcc13194</x:v>
      </x:c>
    </x:row>
    <x:row r="358" ht="86" customHeight="1">
      <x:c r="A358" s="4" t="str">
        <x:v>PP-033</x:v>
      </x:c>
      <x:c r="B358" s="19" t="str">
        <x:v>Pending</x:v>
      </x:c>
      <x:c r="C358" s="4" t="str">
        <x:v>P1</x:v>
      </x:c>
      <x:c r="D358" s="4" t="str">
        <x:v>PlacementPrep</x:v>
      </x:c>
      <x:c r="E358" s="4" t="str">
        <x:v>Combinational logic</x:v>
      </x:c>
      <x:c r="F358" s="4" t="str">
        <x:v>Input combinations and output mapping</x:v>
      </x:c>
      <x:c r="G358" s="4" t="str">
        <x:v>a, b, c, minority</x:v>
      </x:c>
      <x:c r="H358" s="4" t="str">
        <x:v>Drive a, b, c through binary combinations when small; for vectors use zero, all ones, alternating bits and walking one/zero. Toggle one input at a time and include rapid changes after a previous nonzero result.</x:v>
      </x:c>
      <x:c r="I358" s="4" t="str">
        <x:v>Check minority against an independently written truth table. Combinational results must settle without a clock or stale retained values. Source mapping: minority = (~a &amp; ~b) | (~a &amp; ~c) | (~b &amp; ~c).</x:v>
      </x:c>
      <x:c r="J358" s="17"/>
      <x:c r="K358" s="24"/>
      <x:c r="L358" s="17"/>
      <x:c r="M358" s="17"/>
      <x:c r="N358" s="4" t="str">
        <x:v>src/combinational/detectors/minority_detector_3.v</x:v>
      </x:c>
      <x:c r="O358" s="25" t="str">
        <x:v>https://github.com/kapiltrip/PlacementPrep/blob/4aeb1a1555f5051ec06a4cc3fc5ae866fcc13194/src/combinational/detectors/minority_detector_3.v</x:v>
      </x:c>
      <x:c r="P358" s="4" t="str">
        <x:f>IF(B358="Done",IF(OR(J358="",K358="",L358=""),"Add run evidence","Recorded"),IF(OR(B358="Blocked",B358="N/A"),IF(M358="","Add reason","Reason recorded"),""))</x:f>
      </x:c>
      <x:c r="Q358" s="4" t="str">
        <x:v>4aeb1a1555f5051ec06a4cc3fc5ae866fcc13194</x:v>
      </x:c>
    </x:row>
    <x:row r="359" ht="86" customHeight="1">
      <x:c r="A359" s="15" t="str">
        <x:v>PP-034</x:v>
      </x:c>
      <x:c r="B359" s="19" t="str">
        <x:v>Pending</x:v>
      </x:c>
      <x:c r="C359" s="15" t="str">
        <x:v>P1</x:v>
      </x:c>
      <x:c r="D359" s="15" t="str">
        <x:v>PlacementPrep</x:v>
      </x:c>
      <x:c r="E359" s="15" t="str">
        <x:v>Combinational logic</x:v>
      </x:c>
      <x:c r="F359" s="15" t="str">
        <x:v>Input combinations and output mapping</x:v>
      </x:c>
      <x:c r="G359" s="15" t="str">
        <x:v>bcd, excess3</x:v>
      </x:c>
      <x:c r="H359" s="15" t="str">
        <x:v>Drive bcd through binary combinations when small; for vectors use zero, all ones, alternating bits and walking one/zero. Toggle one input at a time and include rapid changes after a previous nonzero result.</x:v>
      </x:c>
      <x:c r="I359" s="15" t="str">
        <x:v>Check excess3 against an independently written truth table. Combinational results must settle without a clock or stale retained values.</x:v>
      </x:c>
      <x:c r="J359" s="17"/>
      <x:c r="K359" s="24"/>
      <x:c r="L359" s="17"/>
      <x:c r="M359" s="17"/>
      <x:c r="N359" s="15" t="str">
        <x:v>src/combinational/encoders/bcd_to_excess3.v</x:v>
      </x:c>
      <x:c r="O359" s="26" t="str">
        <x:v>https://github.com/kapiltrip/PlacementPrep/blob/4aeb1a1555f5051ec06a4cc3fc5ae866fcc13194/src/combinational/encoders/bcd_to_excess3.v</x:v>
      </x:c>
      <x:c r="P359" s="15" t="str">
        <x:f>IF(B359="Done",IF(OR(J359="",K359="",L359=""),"Add run evidence","Recorded"),IF(OR(B359="Blocked",B359="N/A"),IF(M359="","Add reason","Reason recorded"),""))</x:f>
      </x:c>
      <x:c r="Q359" s="15" t="str">
        <x:v>4aeb1a1555f5051ec06a4cc3fc5ae866fcc13194</x:v>
      </x:c>
    </x:row>
    <x:row r="360" ht="86" customHeight="1">
      <x:c r="A360" s="4" t="str">
        <x:v>PP-035</x:v>
      </x:c>
      <x:c r="B360" s="19" t="str">
        <x:v>Pending</x:v>
      </x:c>
      <x:c r="C360" s="4" t="str">
        <x:v>P1</x:v>
      </x:c>
      <x:c r="D360" s="4" t="str">
        <x:v>PlacementPrep</x:v>
      </x:c>
      <x:c r="E360" s="4" t="str">
        <x:v>Combinational logic</x:v>
      </x:c>
      <x:c r="F360" s="4" t="str">
        <x:v>Input combinations and output mapping</x:v>
      </x:c>
      <x:c r="G360" s="4" t="str">
        <x:v>binary_in, bcd_out, d4, invalid</x:v>
      </x:c>
      <x:c r="H360" s="4" t="str">
        <x:v>Drive binary_in through binary combinations when small; for vectors use zero, all ones, alternating bits and walking one/zero. Toggle one input at a time and include rapid changes after a previous nonzero result.</x:v>
      </x:c>
      <x:c r="I360" s="4" t="str">
        <x:v>Check bcd_out, d4, invalid against an independently written truth table. Combinational results must settle without a clock or stale retained values. Source mapping: invalid = d4.</x:v>
      </x:c>
      <x:c r="J360" s="17"/>
      <x:c r="K360" s="24"/>
      <x:c r="L360" s="17"/>
      <x:c r="M360" s="17"/>
      <x:c r="N360" s="4" t="str">
        <x:v>src/combinational/encoders/binary_to_bcd_digit.v</x:v>
      </x:c>
      <x:c r="O360" s="25" t="str">
        <x:v>https://github.com/kapiltrip/PlacementPrep/blob/4aeb1a1555f5051ec06a4cc3fc5ae866fcc13194/src/combinational/encoders/binary_to_bcd_digit.v</x:v>
      </x:c>
      <x:c r="P360" s="4" t="str">
        <x:f>IF(B360="Done",IF(OR(J360="",K360="",L360=""),"Add run evidence","Recorded"),IF(OR(B360="Blocked",B360="N/A"),IF(M360="","Add reason","Reason recorded"),""))</x:f>
      </x:c>
      <x:c r="Q360" s="4" t="str">
        <x:v>4aeb1a1555f5051ec06a4cc3fc5ae866fcc13194</x:v>
      </x:c>
    </x:row>
    <x:row r="361" ht="86" customHeight="1">
      <x:c r="A361" s="15" t="str">
        <x:v>PP-036</x:v>
      </x:c>
      <x:c r="B361" s="19" t="str">
        <x:v>Pending</x:v>
      </x:c>
      <x:c r="C361" s="15" t="str">
        <x:v>P1</x:v>
      </x:c>
      <x:c r="D361" s="15" t="str">
        <x:v>PlacementPrep</x:v>
      </x:c>
      <x:c r="E361" s="15" t="str">
        <x:v>Combinational logic</x:v>
      </x:c>
      <x:c r="F361" s="15" t="str">
        <x:v>Input combinations and output mapping</x:v>
      </x:c>
      <x:c r="G361" s="15" t="str">
        <x:v>a, b, y</x:v>
      </x:c>
      <x:c r="H361" s="15" t="str">
        <x:v>Drive a, b through binary combinations when small; for vectors use zero, all ones, alternating bits and walking one/zero. Toggle one input at a time and include rapid changes after a previous nonzero result.</x:v>
      </x:c>
      <x:c r="I361" s="15" t="str">
        <x:v>Check y against an independently written truth table. Combinational results must settle without a clock or stale retained values. Source mapping: y = ~(n2 &amp; n3).</x:v>
      </x:c>
      <x:c r="J361" s="17"/>
      <x:c r="K361" s="24"/>
      <x:c r="L361" s="17"/>
      <x:c r="M361" s="17"/>
      <x:c r="N361" s="15" t="str">
        <x:v>src/combinational/logic/xor_from_nand.v</x:v>
      </x:c>
      <x:c r="O361" s="26" t="str">
        <x:v>https://github.com/kapiltrip/PlacementPrep/blob/4aeb1a1555f5051ec06a4cc3fc5ae866fcc13194/src/combinational/logic/xor_from_nand.v</x:v>
      </x:c>
      <x:c r="P361" s="15" t="str">
        <x:f>IF(B361="Done",IF(OR(J361="",K361="",L361=""),"Add run evidence","Recorded"),IF(OR(B361="Blocked",B361="N/A"),IF(M361="","Add reason","Reason recorded"),""))</x:f>
      </x:c>
      <x:c r="Q361" s="15" t="str">
        <x:v>4aeb1a1555f5051ec06a4cc3fc5ae866fcc13194</x:v>
      </x:c>
    </x:row>
    <x:row r="362" ht="86" customHeight="1">
      <x:c r="A362" s="4" t="str">
        <x:v>PP-037</x:v>
      </x:c>
      <x:c r="B362" s="19" t="str">
        <x:v>Pending</x:v>
      </x:c>
      <x:c r="C362" s="4" t="str">
        <x:v>P1</x:v>
      </x:c>
      <x:c r="D362" s="4" t="str">
        <x:v>PlacementPrep</x:v>
      </x:c>
      <x:c r="E362" s="4" t="str">
        <x:v>Combinational logic</x:v>
      </x:c>
      <x:c r="F362" s="4" t="str">
        <x:v>Input combinations and output mapping</x:v>
      </x:c>
      <x:c r="G362" s="4" t="str">
        <x:v>door_open, ignition_on, headlight_on, alarm_n</x:v>
      </x:c>
      <x:c r="H362" s="4" t="str">
        <x:v>Drive door_open, ignition_on, headlight_on through binary combinations when small; for vectors use zero, all ones, alternating bits and walking one/zero. Toggle one input at a time and include rapid changes after a previous nonzero result.</x:v>
      </x:c>
      <x:c r="I362" s="4" t="str">
        <x:v>Check alarm_n against an independently written truth table. Combinational results must settle without a clock or stale retained values. Source mapping: alarm_n = ~ (hazard_light | hazard_door).</x:v>
      </x:c>
      <x:c r="J362" s="17"/>
      <x:c r="K362" s="24"/>
      <x:c r="L362" s="17"/>
      <x:c r="M362" s="17"/>
      <x:c r="N362" s="4" t="str">
        <x:v>src/combinational/misc/automobile_alarm.v</x:v>
      </x:c>
      <x:c r="O362" s="25" t="str">
        <x:v>https://github.com/kapiltrip/PlacementPrep/blob/4aeb1a1555f5051ec06a4cc3fc5ae866fcc13194/src/combinational/misc/automobile_alarm.v</x:v>
      </x:c>
      <x:c r="P362" s="4" t="str">
        <x:f>IF(B362="Done",IF(OR(J362="",K362="",L362=""),"Add run evidence","Recorded"),IF(OR(B362="Blocked",B362="N/A"),IF(M362="","Add reason","Reason recorded"),""))</x:f>
      </x:c>
      <x:c r="Q362" s="4" t="str">
        <x:v>4aeb1a1555f5051ec06a4cc3fc5ae866fcc13194</x:v>
      </x:c>
    </x:row>
    <x:row r="363" ht="86" customHeight="1">
      <x:c r="A363" s="15" t="str">
        <x:v>PP-038</x:v>
      </x:c>
      <x:c r="B363" s="19" t="str">
        <x:v>Pending</x:v>
      </x:c>
      <x:c r="C363" s="15" t="str">
        <x:v>P1</x:v>
      </x:c>
      <x:c r="D363" s="15" t="str">
        <x:v>PlacementPrep</x:v>
      </x:c>
      <x:c r="E363" s="15" t="str">
        <x:v>Combinational logic</x:v>
      </x:c>
      <x:c r="F363" s="15" t="str">
        <x:v>Input combinations and output mapping</x:v>
      </x:c>
      <x:c r="G363" s="15" t="str">
        <x:v>a, b, y</x:v>
      </x:c>
      <x:c r="H363" s="15" t="str">
        <x:v>Drive a, b through binary combinations when small; for vectors use zero, all ones, alternating bits and walking one/zero. Toggle one input at a time and include rapid changes after a previous nonzero result.</x:v>
      </x:c>
      <x:c r="I363" s="15" t="str">
        <x:v>Check y against an independently written truth table. Combinational results must settle without a clock or stale retained values. Source mapping: y = a &amp; b.</x:v>
      </x:c>
      <x:c r="J363" s="17"/>
      <x:c r="K363" s="24"/>
      <x:c r="L363" s="17"/>
      <x:c r="M363" s="17"/>
      <x:c r="N363" s="15" t="str">
        <x:v>src/dataflow/and2_d.v</x:v>
      </x:c>
      <x:c r="O363" s="26" t="str">
        <x:v>https://github.com/kapiltrip/PlacementPrep/blob/4aeb1a1555f5051ec06a4cc3fc5ae866fcc13194/src/dataflow/and2_d.v</x:v>
      </x:c>
      <x:c r="P363" s="15" t="str">
        <x:f>IF(B363="Done",IF(OR(J363="",K363="",L363=""),"Add run evidence","Recorded"),IF(OR(B363="Blocked",B363="N/A"),IF(M363="","Add reason","Reason recorded"),""))</x:f>
      </x:c>
      <x:c r="Q363" s="15" t="str">
        <x:v>4aeb1a1555f5051ec06a4cc3fc5ae866fcc13194</x:v>
      </x:c>
    </x:row>
    <x:row r="364" ht="86" customHeight="1">
      <x:c r="A364" s="4" t="str">
        <x:v>PP-039</x:v>
      </x:c>
      <x:c r="B364" s="19" t="str">
        <x:v>Pending</x:v>
      </x:c>
      <x:c r="C364" s="4" t="str">
        <x:v>P1</x:v>
      </x:c>
      <x:c r="D364" s="4" t="str">
        <x:v>PlacementPrep</x:v>
      </x:c>
      <x:c r="E364" s="4" t="str">
        <x:v>Multiplexer</x:v>
      </x:c>
      <x:c r="F364" s="4" t="str">
        <x:v>Every select and unselected-input isolation</x:v>
      </x:c>
      <x:c r="G364" s="4" t="str">
        <x:v>a, b, sel, y</x:v>
      </x:c>
      <x:c r="H364" s="4" t="str">
        <x:v>Sweep sel through all encodings; set data inputs to distinguishable patterns, then toggle only unselected inputs.</x:v>
      </x:c>
      <x:c r="I364" s="4" t="str">
        <x:v>y equals the selected input. Exercise selected values 0 and 1 and vector extremes. Unselected changes do not affect the result; verify the default mapping for unused encodings. Source mapping: y = sel ? b : a.</x:v>
      </x:c>
      <x:c r="J364" s="17"/>
      <x:c r="K364" s="24"/>
      <x:c r="L364" s="17"/>
      <x:c r="M364" s="17"/>
      <x:c r="N364" s="4" t="str">
        <x:v>src/dataflow/mux2_d.v</x:v>
      </x:c>
      <x:c r="O364" s="25" t="str">
        <x:v>https://github.com/kapiltrip/PlacementPrep/blob/4aeb1a1555f5051ec06a4cc3fc5ae866fcc13194/src/dataflow/mux2_d.v</x:v>
      </x:c>
      <x:c r="P364" s="4" t="str">
        <x:f>IF(B364="Done",IF(OR(J364="",K364="",L364=""),"Add run evidence","Recorded"),IF(OR(B364="Blocked",B364="N/A"),IF(M364="","Add reason","Reason recorded"),""))</x:f>
      </x:c>
      <x:c r="Q364" s="4" t="str">
        <x:v>4aeb1a1555f5051ec06a4cc3fc5ae866fcc13194</x:v>
      </x:c>
    </x:row>
    <x:row r="365" ht="86" customHeight="1">
      <x:c r="A365" s="15" t="str">
        <x:v>PP-040</x:v>
      </x:c>
      <x:c r="B365" s="19" t="str">
        <x:v>Pending</x:v>
      </x:c>
      <x:c r="C365" s="15" t="str">
        <x:v>P1</x:v>
      </x:c>
      <x:c r="D365" s="15" t="str">
        <x:v>PlacementPrep</x:v>
      </x:c>
      <x:c r="E365" s="15" t="str">
        <x:v>Combinational logic</x:v>
      </x:c>
      <x:c r="F365" s="15" t="str">
        <x:v>Input combinations and output mapping</x:v>
      </x:c>
      <x:c r="G365" s="15" t="str">
        <x:v>a, y</x:v>
      </x:c>
      <x:c r="H365" s="15" t="str">
        <x:v>Drive a through binary combinations when small; for vectors use zero, all ones, alternating bits and walking one/zero. Toggle one input at a time and include rapid changes after a previous nonzero result.</x:v>
      </x:c>
      <x:c r="I365" s="15" t="str">
        <x:v>Check y against an independently written truth table. Combinational results must settle without a clock or stale retained values. Source mapping: y = ~a.</x:v>
      </x:c>
      <x:c r="J365" s="17"/>
      <x:c r="K365" s="24"/>
      <x:c r="L365" s="17"/>
      <x:c r="M365" s="17"/>
      <x:c r="N365" s="15" t="str">
        <x:v>src/dataflow/not1_d.v</x:v>
      </x:c>
      <x:c r="O365" s="26" t="str">
        <x:v>https://github.com/kapiltrip/PlacementPrep/blob/4aeb1a1555f5051ec06a4cc3fc5ae866fcc13194/src/dataflow/not1_d.v</x:v>
      </x:c>
      <x:c r="P365" s="15" t="str">
        <x:f>IF(B365="Done",IF(OR(J365="",K365="",L365=""),"Add run evidence","Recorded"),IF(OR(B365="Blocked",B365="N/A"),IF(M365="","Add reason","Reason recorded"),""))</x:f>
      </x:c>
      <x:c r="Q365" s="15" t="str">
        <x:v>4aeb1a1555f5051ec06a4cc3fc5ae866fcc13194</x:v>
      </x:c>
    </x:row>
    <x:row r="366" ht="86" customHeight="1">
      <x:c r="A366" s="4" t="str">
        <x:v>PP-041</x:v>
      </x:c>
      <x:c r="B366" s="19" t="str">
        <x:v>Pending</x:v>
      </x:c>
      <x:c r="C366" s="4" t="str">
        <x:v>P1</x:v>
      </x:c>
      <x:c r="D366" s="4" t="str">
        <x:v>PlacementPrep</x:v>
      </x:c>
      <x:c r="E366" s="4" t="str">
        <x:v>Combinational logic</x:v>
      </x:c>
      <x:c r="F366" s="4" t="str">
        <x:v>Input combinations and output mapping</x:v>
      </x:c>
      <x:c r="G366" s="4" t="str">
        <x:v>a, b, y</x:v>
      </x:c>
      <x:c r="H366" s="4" t="str">
        <x:v>Drive a, b through binary combinations when small; for vectors use zero, all ones, alternating bits and walking one/zero. Toggle one input at a time and include rapid changes after a previous nonzero result.</x:v>
      </x:c>
      <x:c r="I366" s="4" t="str">
        <x:v>Check y against an independently written truth table. Combinational results must settle without a clock or stale retained values. Source mapping: y = a | b.</x:v>
      </x:c>
      <x:c r="J366" s="17"/>
      <x:c r="K366" s="24"/>
      <x:c r="L366" s="17"/>
      <x:c r="M366" s="17"/>
      <x:c r="N366" s="4" t="str">
        <x:v>src/dataflow/or2_d.v</x:v>
      </x:c>
      <x:c r="O366" s="25" t="str">
        <x:v>https://github.com/kapiltrip/PlacementPrep/blob/4aeb1a1555f5051ec06a4cc3fc5ae866fcc13194/src/dataflow/or2_d.v</x:v>
      </x:c>
      <x:c r="P366" s="4" t="str">
        <x:f>IF(B366="Done",IF(OR(J366="",K366="",L366=""),"Add run evidence","Recorded"),IF(OR(B366="Blocked",B366="N/A"),IF(M366="","Add reason","Reason recorded"),""))</x:f>
      </x:c>
      <x:c r="Q366" s="4" t="str">
        <x:v>4aeb1a1555f5051ec06a4cc3fc5ae866fcc13194</x:v>
      </x:c>
    </x:row>
    <x:row r="367" ht="86" customHeight="1">
      <x:c r="A367" s="15" t="str">
        <x:v>PP-042</x:v>
      </x:c>
      <x:c r="B367" s="19" t="str">
        <x:v>Pending</x:v>
      </x:c>
      <x:c r="C367" s="15" t="str">
        <x:v>P1</x:v>
      </x:c>
      <x:c r="D367" s="15" t="str">
        <x:v>PlacementPrep</x:v>
      </x:c>
      <x:c r="E367" s="15" t="str">
        <x:v>Tri-state bus</x:v>
      </x:c>
      <x:c r="F367" s="15" t="str">
        <x:v>Drive, release and contention</x:v>
      </x:c>
      <x:c r="G367" s="15" t="str">
        <x:v>en, a, y</x:v>
      </x:c>
      <x:c r="H367" s="15" t="str">
        <x:v>Exercise en, a, y; allow one external driver at a time, test each direction/enable, then release both. Isolate a conflicting-drive negative run.</x:v>
      </x:c>
      <x:c r="I367" s="15" t="str">
        <x:v>Enabled path forwards the source, disabled path is high impedance, and conflicting equal-strength binary drives resolve to X. Do not replace four-state checks with two-state equality. Source mapping: y = en ? a : 1'bz.</x:v>
      </x:c>
      <x:c r="J367" s="17"/>
      <x:c r="K367" s="24"/>
      <x:c r="L367" s="17"/>
      <x:c r="M367" s="17"/>
      <x:c r="N367" s="15" t="str">
        <x:v>src/dataflow/tri_buf_d.v</x:v>
      </x:c>
      <x:c r="O367" s="26" t="str">
        <x:v>https://github.com/kapiltrip/PlacementPrep/blob/4aeb1a1555f5051ec06a4cc3fc5ae866fcc13194/src/dataflow/tri_buf_d.v</x:v>
      </x:c>
      <x:c r="P367" s="15" t="str">
        <x:f>IF(B367="Done",IF(OR(J367="",K367="",L367=""),"Add run evidence","Recorded"),IF(OR(B367="Blocked",B367="N/A"),IF(M367="","Add reason","Reason recorded"),""))</x:f>
      </x:c>
      <x:c r="Q367" s="15" t="str">
        <x:v>4aeb1a1555f5051ec06a4cc3fc5ae866fcc13194</x:v>
      </x:c>
    </x:row>
    <x:row r="368" ht="86" customHeight="1">
      <x:c r="A368" s="4" t="str">
        <x:v>PP-043</x:v>
      </x:c>
      <x:c r="B368" s="19" t="str">
        <x:v>Pending</x:v>
      </x:c>
      <x:c r="C368" s="4" t="str">
        <x:v>P1</x:v>
      </x:c>
      <x:c r="D368" s="4" t="str">
        <x:v>PlacementPrep</x:v>
      </x:c>
      <x:c r="E368" s="4" t="str">
        <x:v>Combinational logic</x:v>
      </x:c>
      <x:c r="F368" s="4" t="str">
        <x:v>Input combinations and output mapping</x:v>
      </x:c>
      <x:c r="G368" s="4" t="str">
        <x:v>a, b, y</x:v>
      </x:c>
      <x:c r="H368" s="4" t="str">
        <x:v>Drive a, b through binary combinations when small; for vectors use zero, all ones, alternating bits and walking one/zero. Toggle one input at a time and include rapid changes after a previous nonzero result.</x:v>
      </x:c>
      <x:c r="I368" s="4" t="str">
        <x:v>Check y against an independently written truth table. Combinational results must settle without a clock or stale retained values. Source mapping: y = ~(a ^ b).</x:v>
      </x:c>
      <x:c r="J368" s="17"/>
      <x:c r="K368" s="24"/>
      <x:c r="L368" s="17"/>
      <x:c r="M368" s="17"/>
      <x:c r="N368" s="4" t="str">
        <x:v>src/dataflow/xnor2_d.v</x:v>
      </x:c>
      <x:c r="O368" s="25" t="str">
        <x:v>https://github.com/kapiltrip/PlacementPrep/blob/4aeb1a1555f5051ec06a4cc3fc5ae866fcc13194/src/dataflow/xnor2_d.v</x:v>
      </x:c>
      <x:c r="P368" s="4" t="str">
        <x:f>IF(B368="Done",IF(OR(J368="",K368="",L368=""),"Add run evidence","Recorded"),IF(OR(B368="Blocked",B368="N/A"),IF(M368="","Add reason","Reason recorded"),""))</x:f>
      </x:c>
      <x:c r="Q368" s="4" t="str">
        <x:v>4aeb1a1555f5051ec06a4cc3fc5ae866fcc13194</x:v>
      </x:c>
    </x:row>
    <x:row r="369" ht="86" customHeight="1">
      <x:c r="A369" s="15" t="str">
        <x:v>PP-044</x:v>
      </x:c>
      <x:c r="B369" s="19" t="str">
        <x:v>Pending</x:v>
      </x:c>
      <x:c r="C369" s="15" t="str">
        <x:v>P1</x:v>
      </x:c>
      <x:c r="D369" s="15" t="str">
        <x:v>PlacementPrep</x:v>
      </x:c>
      <x:c r="E369" s="15" t="str">
        <x:v>Combinational logic</x:v>
      </x:c>
      <x:c r="F369" s="15" t="str">
        <x:v>Input combinations and output mapping</x:v>
      </x:c>
      <x:c r="G369" s="15" t="str">
        <x:v>a, y</x:v>
      </x:c>
      <x:c r="H369" s="15" t="str">
        <x:v>Drive a through binary combinations when small; for vectors use zero, all ones, alternating bits and walking one/zero. Toggle one input at a time and include rapid changes after a previous nonzero result.</x:v>
      </x:c>
      <x:c r="I369" s="15" t="str">
        <x:v>Check y against an independently written truth table. Combinational results must settle without a clock or stale retained values. Source mapping: y = ~^a.</x:v>
      </x:c>
      <x:c r="J369" s="17"/>
      <x:c r="K369" s="24"/>
      <x:c r="L369" s="17"/>
      <x:c r="M369" s="17"/>
      <x:c r="N369" s="15" t="str">
        <x:v>src/dataflow/xnor_n_d.v</x:v>
      </x:c>
      <x:c r="O369" s="26" t="str">
        <x:v>https://github.com/kapiltrip/PlacementPrep/blob/4aeb1a1555f5051ec06a4cc3fc5ae866fcc13194/src/dataflow/xnor_n_d.v</x:v>
      </x:c>
      <x:c r="P369" s="15" t="str">
        <x:f>IF(B369="Done",IF(OR(J369="",K369="",L369=""),"Add run evidence","Recorded"),IF(OR(B369="Blocked",B369="N/A"),IF(M369="","Add reason","Reason recorded"),""))</x:f>
      </x:c>
      <x:c r="Q369" s="15" t="str">
        <x:v>4aeb1a1555f5051ec06a4cc3fc5ae866fcc13194</x:v>
      </x:c>
    </x:row>
    <x:row r="370" ht="86" customHeight="1">
      <x:c r="A370" s="4" t="str">
        <x:v>PP-045</x:v>
      </x:c>
      <x:c r="B370" s="19" t="str">
        <x:v>Pending</x:v>
      </x:c>
      <x:c r="C370" s="4" t="str">
        <x:v>P1</x:v>
      </x:c>
      <x:c r="D370" s="4" t="str">
        <x:v>PlacementPrep</x:v>
      </x:c>
      <x:c r="E370" s="4" t="str">
        <x:v>Combinational logic</x:v>
      </x:c>
      <x:c r="F370" s="4" t="str">
        <x:v>Input combinations and output mapping</x:v>
      </x:c>
      <x:c r="G370" s="4" t="str">
        <x:v>a, b, y</x:v>
      </x:c>
      <x:c r="H370" s="4" t="str">
        <x:v>Drive a, b through binary combinations when small; for vectors use zero, all ones, alternating bits and walking one/zero. Toggle one input at a time and include rapid changes after a previous nonzero result.</x:v>
      </x:c>
      <x:c r="I370" s="4" t="str">
        <x:v>Check y against an independently written truth table. Combinational results must settle without a clock or stale retained values. Source mapping: y = a ^ b.</x:v>
      </x:c>
      <x:c r="J370" s="17"/>
      <x:c r="K370" s="24"/>
      <x:c r="L370" s="17"/>
      <x:c r="M370" s="17"/>
      <x:c r="N370" s="4" t="str">
        <x:v>src/dataflow/xor2_d.v</x:v>
      </x:c>
      <x:c r="O370" s="25" t="str">
        <x:v>https://github.com/kapiltrip/PlacementPrep/blob/4aeb1a1555f5051ec06a4cc3fc5ae866fcc13194/src/dataflow/xor2_d.v</x:v>
      </x:c>
      <x:c r="P370" s="4" t="str">
        <x:f>IF(B370="Done",IF(OR(J370="",K370="",L370=""),"Add run evidence","Recorded"),IF(OR(B370="Blocked",B370="N/A"),IF(M370="","Add reason","Reason recorded"),""))</x:f>
      </x:c>
      <x:c r="Q370" s="4" t="str">
        <x:v>4aeb1a1555f5051ec06a4cc3fc5ae866fcc13194</x:v>
      </x:c>
    </x:row>
    <x:row r="371" ht="86" customHeight="1">
      <x:c r="A371" s="15" t="str">
        <x:v>PP-046</x:v>
      </x:c>
      <x:c r="B371" s="19" t="str">
        <x:v>Pending</x:v>
      </x:c>
      <x:c r="C371" s="15" t="str">
        <x:v>P1</x:v>
      </x:c>
      <x:c r="D371" s="15" t="str">
        <x:v>PlacementPrep</x:v>
      </x:c>
      <x:c r="E371" s="15" t="str">
        <x:v>Combinational logic</x:v>
      </x:c>
      <x:c r="F371" s="15" t="str">
        <x:v>Input combinations and output mapping</x:v>
      </x:c>
      <x:c r="G371" s="15" t="str">
        <x:v>a, y</x:v>
      </x:c>
      <x:c r="H371" s="15" t="str">
        <x:v>Drive a through binary combinations when small; for vectors use zero, all ones, alternating bits and walking one/zero. Toggle one input at a time and include rapid changes after a previous nonzero result.</x:v>
      </x:c>
      <x:c r="I371" s="15" t="str">
        <x:v>Check y against an independently written truth table. Combinational results must settle without a clock or stale retained values. Source mapping: y = ^a.</x:v>
      </x:c>
      <x:c r="J371" s="17"/>
      <x:c r="K371" s="24"/>
      <x:c r="L371" s="17"/>
      <x:c r="M371" s="17"/>
      <x:c r="N371" s="15" t="str">
        <x:v>src/dataflow/xor_n_d.v</x:v>
      </x:c>
      <x:c r="O371" s="26" t="str">
        <x:v>https://github.com/kapiltrip/PlacementPrep/blob/4aeb1a1555f5051ec06a4cc3fc5ae866fcc13194/src/dataflow/xor_n_d.v</x:v>
      </x:c>
      <x:c r="P371" s="15" t="str">
        <x:f>IF(B371="Done",IF(OR(J371="",K371="",L371=""),"Add run evidence","Recorded"),IF(OR(B371="Blocked",B371="N/A"),IF(M371="","Add reason","Reason recorded"),""))</x:f>
      </x:c>
      <x:c r="Q371" s="15" t="str">
        <x:v>4aeb1a1555f5051ec06a4cc3fc5ae866fcc13194</x:v>
      </x:c>
    </x:row>
    <x:row r="372" ht="86" customHeight="1">
      <x:c r="A372" s="4" t="str">
        <x:v>PP-047</x:v>
      </x:c>
      <x:c r="B372" s="19" t="str">
        <x:v>Pending</x:v>
      </x:c>
      <x:c r="C372" s="4" t="str">
        <x:v>P2</x:v>
      </x:c>
      <x:c r="D372" s="4" t="str">
        <x:v>PlacementPrep</x:v>
      </x:c>
      <x:c r="E372" s="4" t="str">
        <x:v>Practice draft</x:v>
      </x:c>
      <x:c r="F372" s="4" t="str">
        <x:v>Compile and compare draft contract</x:v>
      </x:c>
      <x:c r="G372" s="4" t="str">
        <x:v>a, b, y, sel, en, enable</x:v>
      </x:c>
      <x:c r="H372" s="4" t="str">
        <x:v>Compile this draft alone with an explicit top. Compare its interface and behavior with the active design in the same repository; record missing declarations and output drivers.</x:v>
      </x:c>
      <x:c r="I372" s="4" t="str">
        <x:v>The draft must elaborate and meet an agreed contract before it can share active-design results. Do not include unfinished drafts in a wildcard compile.</x:v>
      </x:c>
      <x:c r="J372" s="17"/>
      <x:c r="K372" s="24"/>
      <x:c r="L372" s="17"/>
      <x:c r="M372" s="17" t="str">
        <x:v>Draft results are separate from active RTL.</x:v>
      </x:c>
      <x:c r="N372" s="4" t="str">
        <x:v>todo.v</x:v>
      </x:c>
      <x:c r="O372" s="25" t="str">
        <x:v>https://github.com/kapiltrip/PlacementPrep/blob/4aeb1a1555f5051ec06a4cc3fc5ae866fcc13194/todo.v</x:v>
      </x:c>
      <x:c r="P372" s="4" t="str">
        <x:f>IF(B372="Done",IF(OR(J372="",K372="",L372=""),"Add run evidence","Recorded"),IF(OR(B372="Blocked",B372="N/A"),IF(M372="","Add reason","Reason recorded"),""))</x:f>
      </x:c>
      <x:c r="Q372" s="4" t="str">
        <x:v>4aeb1a1555f5051ec06a4cc3fc5ae866fcc13194</x:v>
      </x:c>
    </x:row>
    <x:row r="373" ht="86" customHeight="1">
      <x:c r="A373" s="15" t="str">
        <x:v>GQ-036</x:v>
      </x:c>
      <x:c r="B373" s="19" t="str">
        <x:v>Pending</x:v>
      </x:c>
      <x:c r="C373" s="15" t="str">
        <x:v>P1</x:v>
      </x:c>
      <x:c r="D373" s="15" t="str">
        <x:v>GoodQuestions</x:v>
      </x:c>
      <x:c r="E373" s="15" t="str">
        <x:v>Tri-state bus</x:v>
      </x:c>
      <x:c r="F373" s="15" t="str">
        <x:v>Drive, release and contention</x:v>
      </x:c>
      <x:c r="G373" s="15" t="str">
        <x:v>c, a, b</x:v>
      </x:c>
      <x:c r="H373" s="15" t="str">
        <x:v>Exercise c, a, b; allow one external driver at a time, test each direction/enable, then release both. Isolate a conflicting-drive negative run.</x:v>
      </x:c>
      <x:c r="I373" s="15" t="str">
        <x:v>Enabled path forwards the source, disabled path is high impedance, and conflicting equal-strength binary drives resolve to X. Do not replace four-state checks with two-state equality.</x:v>
      </x:c>
      <x:c r="J373" s="17"/>
      <x:c r="K373" s="24"/>
      <x:c r="L373" s="17"/>
      <x:c r="M373" s="17"/>
      <x:c r="N373" s="15" t="str">
        <x:v>qa/bi_buf/bi_buf.v</x:v>
      </x:c>
      <x:c r="O373" s="26" t="str">
        <x:v>https://github.com/kapiltrip/GoodQuestions/blob/a83e5a8a5d7262dd223ebbf4af2bf4c8434d9701/qa/bi_buf/bi_buf.v</x:v>
      </x:c>
      <x:c r="P373" s="15" t="str">
        <x:f>IF(B373="Done",IF(OR(J373="",K373="",L373=""),"Add run evidence","Recorded"),IF(OR(B373="Blocked",B373="N/A"),IF(M373="","Add reason","Reason recorded"),""))</x:f>
      </x:c>
      <x:c r="Q373" s="15" t="str">
        <x:v>a83e5a8a5d7262dd223ebbf4af2bf4c8434d9701</x:v>
      </x:c>
    </x:row>
    <x:row r="374" ht="110" customHeight="1">
      <x:c r="A374" s="4" t="str">
        <x:v>GQ-037</x:v>
      </x:c>
      <x:c r="B374" s="19" t="str">
        <x:v>Pending</x:v>
      </x:c>
      <x:c r="C374" s="4" t="str">
        <x:v>P1</x:v>
      </x:c>
      <x:c r="D374" s="4" t="str">
        <x:v>GoodQuestions</x:v>
      </x:c>
      <x:c r="E374" s="4" t="str">
        <x:v>Combinational logic</x:v>
      </x:c>
      <x:c r="F374" s="4" t="str">
        <x:v>Input combinations and output mapping</x:v>
      </x:c>
      <x:c r="G374" s="4" t="str">
        <x:v>a, b, and_y, or_y, xor_y, nand_y, nor_y, xnor_y</x:v>
      </x:c>
      <x:c r="H374" s="4" t="str">
        <x:v>Drive a, b through binary combinations when small; for vectors use zero, all ones, alternating bits and walking one/zero. Toggle one input at a time and include rapid changes after a previous nonzero result.</x:v>
      </x:c>
      <x:c r="I374" s="4" t="str">
        <x:v>Check and_y, or_y, xor_y, nand_y, nor_y, xnor_y against an independently written truth table. Combinational results must settle without a clock or stale retained values. Source mapping: and_y = a &amp; b; or_y = a | b; xor_y = a ^ b; nand_y = ~(a &amp; b); nor_y = ~(a | b); xnor_y = ~(a ^ b); and_y = a &amp; b; or_y = a | b; xor_y = a ^ b; nand_y = ~(a &amp; b); nor_y = ~(a | b); xnor_y = ~(a ^ b); and_y = a &amp;&amp; b; or_y = a || b; xor_y = a != b; nand_y = !(a &amp;&amp; b); nor_y = !(a || b); xnor_y = a == b.</x:v>
      </x:c>
      <x:c r="J374" s="17"/>
      <x:c r="K374" s="24"/>
      <x:c r="L374" s="17"/>
      <x:c r="M374" s="17"/>
      <x:c r="N374" s="4" t="str">
        <x:v>qa/pdf_q03_q06/q03_logic_gates.v</x:v>
      </x:c>
      <x:c r="O374" s="25" t="str">
        <x:v>https://github.com/kapiltrip/GoodQuestions/blob/a83e5a8a5d7262dd223ebbf4af2bf4c8434d9701/qa/pdf_q03_q06/q03_logic_gates.v</x:v>
      </x:c>
      <x:c r="P374" s="4" t="str">
        <x:f>IF(B374="Done",IF(OR(J374="",K374="",L374=""),"Add run evidence","Recorded"),IF(OR(B374="Blocked",B374="N/A"),IF(M374="","Add reason","Reason recorded"),""))</x:f>
      </x:c>
      <x:c r="Q374" s="4" t="str">
        <x:v>a83e5a8a5d7262dd223ebbf4af2bf4c8434d9701</x:v>
      </x:c>
    </x:row>
    <x:row r="375" ht="86" customHeight="1">
      <x:c r="A375" s="15" t="str">
        <x:v>GQ-038</x:v>
      </x:c>
      <x:c r="B375" s="19" t="str">
        <x:v>Pending</x:v>
      </x:c>
      <x:c r="C375" s="15" t="str">
        <x:v>P1</x:v>
      </x:c>
      <x:c r="D375" s="15" t="str">
        <x:v>GoodQuestions</x:v>
      </x:c>
      <x:c r="E375" s="15" t="str">
        <x:v>Combinational logic</x:v>
      </x:c>
      <x:c r="F375" s="15" t="str">
        <x:v>Input combinations and output mapping</x:v>
      </x:c>
      <x:c r="G375" s="15" t="str">
        <x:v>databus, all_ones_detected, is_databus_odd, signal_not_zero</x:v>
      </x:c>
      <x:c r="H375" s="15" t="str">
        <x:v>Drive databus through binary combinations when small; for vectors use zero, all ones, alternating bits and walking one/zero. Toggle one input at a time and include rapid changes after a previous nonzero result.</x:v>
      </x:c>
      <x:c r="I375" s="15" t="str">
        <x:v>Check all_ones_detected, is_databus_odd, signal_not_zero against an independently written truth table. Combinational results must settle without a clock or stale retained values. Source mapping: all_ones_detected = &amp;databus; is_databus_odd = ^databus; signal_not_zero = |databus.</x:v>
      </x:c>
      <x:c r="J375" s="17"/>
      <x:c r="K375" s="24"/>
      <x:c r="L375" s="17"/>
      <x:c r="M375" s="17"/>
      <x:c r="N375" s="15" t="str">
        <x:v>qa/pdf_q03_q06/q04_bitwise_reduction.v</x:v>
      </x:c>
      <x:c r="O375" s="26" t="str">
        <x:v>https://github.com/kapiltrip/GoodQuestions/blob/a83e5a8a5d7262dd223ebbf4af2bf4c8434d9701/qa/pdf_q03_q06/q04_bitwise_reduction.v</x:v>
      </x:c>
      <x:c r="P375" s="15" t="str">
        <x:f>IF(B375="Done",IF(OR(J375="",K375="",L375=""),"Add run evidence","Recorded"),IF(OR(B375="Blocked",B375="N/A"),IF(M375="","Add reason","Reason recorded"),""))</x:f>
      </x:c>
      <x:c r="Q375" s="15" t="str">
        <x:v>a83e5a8a5d7262dd223ebbf4af2bf4c8434d9701</x:v>
      </x:c>
    </x:row>
    <x:row r="376" ht="86" customHeight="1">
      <x:c r="A376" s="4" t="str">
        <x:v>GQ-039</x:v>
      </x:c>
      <x:c r="B376" s="19" t="str">
        <x:v>Pending</x:v>
      </x:c>
      <x:c r="C376" s="4" t="str">
        <x:v>P1</x:v>
      </x:c>
      <x:c r="D376" s="4" t="str">
        <x:v>GoodQuestions</x:v>
      </x:c>
      <x:c r="E376" s="4" t="str">
        <x:v>Shift/rotate</x:v>
      </x:c>
      <x:c r="F376" s="4" t="str">
        <x:v>Direction, load and boundary bits</x:v>
      </x:c>
      <x:c r="G376" s="4" t="str">
        <x:v>a, mul_by_4, div_by_8</x:v>
      </x:c>
      <x:c r="H376" s="4" t="str">
        <x:v>Drive a with walking-one patterns at both ends; exercise every shift amount/direction and simultaneous load/enable controls.</x:v>
      </x:c>
      <x:c r="I376" s="4" t="str">
        <x:v>mul_by_4, div_by_8 preserves the defined bit order and delay. Check zero-fill, sign-fill or rotation separately as specified by this source; load/hold priority and bits shifted out must match the contract. Source mapping: mul_by_4 = a &lt;&lt; 2; div_by_8 = a &gt;&gt; 3.</x:v>
      </x:c>
      <x:c r="J376" s="17"/>
      <x:c r="K376" s="24"/>
      <x:c r="L376" s="17"/>
      <x:c r="M376" s="17"/>
      <x:c r="N376" s="4" t="str">
        <x:v>qa/pdf_q03_q06/q05_shift_operations.v</x:v>
      </x:c>
      <x:c r="O376" s="25" t="str">
        <x:v>https://github.com/kapiltrip/GoodQuestions/blob/a83e5a8a5d7262dd223ebbf4af2bf4c8434d9701/qa/pdf_q03_q06/q05_shift_operations.v</x:v>
      </x:c>
      <x:c r="P376" s="4" t="str">
        <x:f>IF(B376="Done",IF(OR(J376="",K376="",L376=""),"Add run evidence","Recorded"),IF(OR(B376="Blocked",B376="N/A"),IF(M376="","Add reason","Reason recorded"),""))</x:f>
      </x:c>
      <x:c r="Q376" s="4" t="str">
        <x:v>a83e5a8a5d7262dd223ebbf4af2bf4c8434d9701</x:v>
      </x:c>
    </x:row>
    <x:row r="377" ht="86" customHeight="1">
      <x:c r="A377" s="15" t="str">
        <x:v>GQ-040</x:v>
      </x:c>
      <x:c r="B377" s="19" t="str">
        <x:v>Pending</x:v>
      </x:c>
      <x:c r="C377" s="15" t="str">
        <x:v>P1</x:v>
      </x:c>
      <x:c r="D377" s="15" t="str">
        <x:v>GoodQuestions</x:v>
      </x:c>
      <x:c r="E377" s="15" t="str">
        <x:v>Combinational logic</x:v>
      </x:c>
      <x:c r="F377" s="15" t="str">
        <x:v>Input combinations and output mapping</x:v>
      </x:c>
      <x:c r="G377" s="15" t="str">
        <x:v>a, c</x:v>
      </x:c>
      <x:c r="H377" s="15" t="str">
        <x:v>Drive a through binary combinations when small; for vectors use zero, all ones, alternating bits and walking one/zero. Toggle one input at a time and include rapid changes after a previous nonzero result.</x:v>
      </x:c>
      <x:c r="I377" s="15" t="str">
        <x:v>Check c against an independently written truth table. Combinational results must settle without a clock or stale retained values. Source mapping: c = {{5{a[4]}}, a}.</x:v>
      </x:c>
      <x:c r="J377" s="17"/>
      <x:c r="K377" s="24"/>
      <x:c r="L377" s="17"/>
      <x:c r="M377" s="17"/>
      <x:c r="N377" s="15" t="str">
        <x:v>qa/pdf_q03_q06/q06_sign_extension.v</x:v>
      </x:c>
      <x:c r="O377" s="26" t="str">
        <x:v>https://github.com/kapiltrip/GoodQuestions/blob/a83e5a8a5d7262dd223ebbf4af2bf4c8434d9701/qa/pdf_q03_q06/q06_sign_extension.v</x:v>
      </x:c>
      <x:c r="P377" s="15" t="str">
        <x:f>IF(B377="Done",IF(OR(J377="",K377="",L377=""),"Add run evidence","Recorded"),IF(OR(B377="Blocked",B377="N/A"),IF(M377="","Add reason","Reason recorded"),""))</x:f>
      </x:c>
      <x:c r="Q377" s="15" t="str">
        <x:v>a83e5a8a5d7262dd223ebbf4af2bf4c8434d9701</x:v>
      </x:c>
    </x:row>
    <x:row r="378" ht="86" customHeight="1">
      <x:c r="A378" s="4" t="str">
        <x:v>GQ-041</x:v>
      </x:c>
      <x:c r="B378" s="19" t="str">
        <x:v>Pending</x:v>
      </x:c>
      <x:c r="C378" s="4" t="str">
        <x:v>P1</x:v>
      </x:c>
      <x:c r="D378" s="4" t="str">
        <x:v>GoodQuestions</x:v>
      </x:c>
      <x:c r="E378" s="4" t="str">
        <x:v>Multiplexer</x:v>
      </x:c>
      <x:c r="F378" s="4" t="str">
        <x:v>Every select and unselected-input isolation</x:v>
      </x:c>
      <x:c r="G378" s="4" t="str">
        <x:v>a, b, c, d, sel, y</x:v>
      </x:c>
      <x:c r="H378" s="4" t="str">
        <x:v>Sweep sel through all encodings; set data inputs to distinguishable patterns, then toggle only unselected inputs.</x:v>
      </x:c>
      <x:c r="I378" s="4" t="str">
        <x:v>y equals the selected input. Exercise selected values 0 and 1 and vector extremes. Unselected changes do not affect the result; verify the default mapping for unused encodings. Source mapping: y = (sel == 2'b00) ? a : (sel == 2'b01) ? b : (sel == 2'b10) ? c : d.</x:v>
      </x:c>
      <x:c r="J378" s="17"/>
      <x:c r="K378" s="24"/>
      <x:c r="L378" s="17"/>
      <x:c r="M378" s="17"/>
      <x:c r="N378" s="4" t="str">
        <x:v>qa/pdf_q07_q11/q07_mux4_styles.v</x:v>
      </x:c>
      <x:c r="O378" s="25" t="str">
        <x:v>https://github.com/kapiltrip/GoodQuestions/blob/a83e5a8a5d7262dd223ebbf4af2bf4c8434d9701/qa/pdf_q07_q11/q07_mux4_styles.v</x:v>
      </x:c>
      <x:c r="P378" s="4" t="str">
        <x:f>IF(B378="Done",IF(OR(J378="",K378="",L378=""),"Add run evidence","Recorded"),IF(OR(B378="Blocked",B378="N/A"),IF(M378="","Add reason","Reason recorded"),""))</x:f>
      </x:c>
      <x:c r="Q378" s="4" t="str">
        <x:v>a83e5a8a5d7262dd223ebbf4af2bf4c8434d9701</x:v>
      </x:c>
    </x:row>
    <x:row r="379" ht="86" customHeight="1">
      <x:c r="A379" s="15" t="str">
        <x:v>GQ-042</x:v>
      </x:c>
      <x:c r="B379" s="19" t="str">
        <x:v>Pending</x:v>
      </x:c>
      <x:c r="C379" s="15" t="str">
        <x:v>P1</x:v>
      </x:c>
      <x:c r="D379" s="15" t="str">
        <x:v>GoodQuestions</x:v>
      </x:c>
      <x:c r="E379" s="15" t="str">
        <x:v>Sequential logic</x:v>
      </x:c>
      <x:c r="F379" s="15" t="str">
        <x:v>Reset, control priority and cycle behavior</x:v>
      </x:c>
      <x:c r="G379" s="15" t="str">
        <x:v>clk, rst, d, q</x:v>
      </x:c>
      <x:c r="H379" s="15" t="str">
        <x:v>For q09_a, q09_b, initialize through its reset/load path, then vary d before active edges. Cover each control combination, holds, boundary transitions and reset during activity. Clock/reset events in this source: posedge clk, posedge rst.</x:v>
      </x:c>
      <x:c r="I379" s="15" t="str">
        <x:v>Check q only at its defined valid time. Compare a cycle-by-cycle reference state/sequence, including reset polarity and priority. Sample registered results after nonblocking updates; combinational Mealy outputs may require a pre-edge check.</x:v>
      </x:c>
      <x:c r="J379" s="17"/>
      <x:c r="K379" s="24"/>
      <x:c r="L379" s="17"/>
      <x:c r="M379" s="17"/>
      <x:c r="N379" s="15" t="str">
        <x:v>qa/pdf_q07_q11/q09_ff_reset_styles.v</x:v>
      </x:c>
      <x:c r="O379" s="26" t="str">
        <x:v>https://github.com/kapiltrip/GoodQuestions/blob/a83e5a8a5d7262dd223ebbf4af2bf4c8434d9701/qa/pdf_q07_q11/q09_ff_reset_styles.v</x:v>
      </x:c>
      <x:c r="P379" s="15" t="str">
        <x:f>IF(B379="Done",IF(OR(J379="",K379="",L379=""),"Add run evidence","Recorded"),IF(OR(B379="Blocked",B379="N/A"),IF(M379="","Add reason","Reason recorded"),""))</x:f>
      </x:c>
      <x:c r="Q379" s="15" t="str">
        <x:v>a83e5a8a5d7262dd223ebbf4af2bf4c8434d9701</x:v>
      </x:c>
    </x:row>
    <x:row r="380" ht="86" customHeight="1">
      <x:c r="A380" s="4" t="str">
        <x:v>GQ-043</x:v>
      </x:c>
      <x:c r="B380" s="19" t="str">
        <x:v>Pending</x:v>
      </x:c>
      <x:c r="C380" s="4" t="str">
        <x:v>P1</x:v>
      </x:c>
      <x:c r="D380" s="4" t="str">
        <x:v>GoodQuestions</x:v>
      </x:c>
      <x:c r="E380" s="4" t="str">
        <x:v>Sequential logic</x:v>
      </x:c>
      <x:c r="F380" s="4" t="str">
        <x:v>Reset, control priority and cycle behavior</x:v>
      </x:c>
      <x:c r="G380" s="4" t="str">
        <x:v>clk, input_sig, q_latch, q_flop</x:v>
      </x:c>
      <x:c r="H380" s="4" t="str">
        <x:v>For q10, initialize through its reset/load path, then vary input_sig before active edges. Cover each control combination, holds, boundary transitions and reset during activity. Clock/reset events in this source: posedge clk.</x:v>
      </x:c>
      <x:c r="I380" s="4" t="str">
        <x:v>Check q_latch, q_flop only at its defined valid time. Compare a cycle-by-cycle reference state/sequence, including reset polarity and priority. Sample registered results after nonblocking updates; combinational Mealy outputs may require a pre-edge check.</x:v>
      </x:c>
      <x:c r="J380" s="17"/>
      <x:c r="K380" s="24"/>
      <x:c r="L380" s="17"/>
      <x:c r="M380" s="17"/>
      <x:c r="N380" s="4" t="str">
        <x:v>qa/pdf_q07_q11/q10_latch_and_flop.v</x:v>
      </x:c>
      <x:c r="O380" s="25" t="str">
        <x:v>https://github.com/kapiltrip/GoodQuestions/blob/a83e5a8a5d7262dd223ebbf4af2bf4c8434d9701/qa/pdf_q07_q11/q10_latch_and_flop.v</x:v>
      </x:c>
      <x:c r="P380" s="4" t="str">
        <x:f>IF(B380="Done",IF(OR(J380="",K380="",L380=""),"Add run evidence","Recorded"),IF(OR(B380="Blocked",B380="N/A"),IF(M380="","Add reason","Reason recorded"),""))</x:f>
      </x:c>
      <x:c r="Q380" s="4" t="str">
        <x:v>a83e5a8a5d7262dd223ebbf4af2bf4c8434d9701</x:v>
      </x:c>
    </x:row>
    <x:row r="381" ht="86" customHeight="1">
      <x:c r="A381" s="15" t="str">
        <x:v>GQ-044</x:v>
      </x:c>
      <x:c r="B381" s="19" t="str">
        <x:v>Pending</x:v>
      </x:c>
      <x:c r="C381" s="15" t="str">
        <x:v>P1</x:v>
      </x:c>
      <x:c r="D381" s="15" t="str">
        <x:v>GoodQuestions</x:v>
      </x:c>
      <x:c r="E381" s="15" t="str">
        <x:v>Sequential logic</x:v>
      </x:c>
      <x:c r="F381" s="15" t="str">
        <x:v>Reset, control priority and cycle behavior</x:v>
      </x:c>
      <x:c r="G381" s="15" t="str">
        <x:v>clk, rst, d, rising, falling, toggle</x:v>
      </x:c>
      <x:c r="H381" s="15" t="str">
        <x:v>For q11, initialize through its reset/load path, then vary d before active edges. Cover each control combination, holds, boundary transitions and reset during activity. Clock/reset events in this source: posedge clk, posedge rst.</x:v>
      </x:c>
      <x:c r="I381" s="15" t="str">
        <x:v>Check rising, falling, toggle only at its defined valid time. Compare a cycle-by-cycle reference state/sequence, including reset polarity and priority. Sample registered results after nonblocking updates; combinational Mealy outputs may require a pre-edge check. Source mapping: toggle = d ^ q_prev; falling = (~d) &amp; q_prev; rising = d &amp; (~q_prev).</x:v>
      </x:c>
      <x:c r="J381" s="17"/>
      <x:c r="K381" s="24"/>
      <x:c r="L381" s="17"/>
      <x:c r="M381" s="17"/>
      <x:c r="N381" s="15" t="str">
        <x:v>qa/pdf_q07_q11/q11_edge_detect.v</x:v>
      </x:c>
      <x:c r="O381" s="26" t="str">
        <x:v>https://github.com/kapiltrip/GoodQuestions/blob/a83e5a8a5d7262dd223ebbf4af2bf4c8434d9701/qa/pdf_q07_q11/q11_edge_detect.v</x:v>
      </x:c>
      <x:c r="P381" s="15" t="str">
        <x:f>IF(B381="Done",IF(OR(J381="",K381="",L381=""),"Add run evidence","Recorded"),IF(OR(B381="Blocked",B381="N/A"),IF(M381="","Add reason","Reason recorded"),""))</x:f>
      </x:c>
      <x:c r="Q381" s="15" t="str">
        <x:v>a83e5a8a5d7262dd223ebbf4af2bf4c8434d9701</x:v>
      </x:c>
    </x:row>
    <x:row r="382" ht="86" customHeight="1">
      <x:c r="A382" s="4" t="str">
        <x:v>GQ-045</x:v>
      </x:c>
      <x:c r="B382" s="19" t="str">
        <x:v>Pending</x:v>
      </x:c>
      <x:c r="C382" s="4" t="str">
        <x:v>P1</x:v>
      </x:c>
      <x:c r="D382" s="4" t="str">
        <x:v>GoodQuestions</x:v>
      </x:c>
      <x:c r="E382" s="4" t="str">
        <x:v>Sequential logic</x:v>
      </x:c>
      <x:c r="F382" s="4" t="str">
        <x:v>Reset, control priority and cycle behavior</x:v>
      </x:c>
      <x:c r="G382" s="4" t="str">
        <x:v>clk, rst, d, pulse_high, pulse_low</x:v>
      </x:c>
      <x:c r="H382" s="4" t="str">
        <x:v>For q12, initialize through its reset/load path, then vary d before active edges. Cover each control combination, holds, boundary transitions and reset during activity. Clock/reset events in this source: posedge clk, posedge rst.</x:v>
      </x:c>
      <x:c r="I382" s="4" t="str">
        <x:v>Check pulse_high, pulse_low only at its defined valid time. Compare a cycle-by-cycle reference state/sequence, including reset polarity and priority. Sample registered results after nonblocking updates; combinational Mealy outputs may require a pre-edge check. Source mapping: pulse_high = (~d) &amp; q1 &amp; (~q2); pulse_low = d &amp; (~q1) &amp; q2.</x:v>
      </x:c>
      <x:c r="J382" s="17"/>
      <x:c r="K382" s="24"/>
      <x:c r="L382" s="17"/>
      <x:c r="M382" s="17"/>
      <x:c r="N382" s="4" t="str">
        <x:v>qa/pdf_q12_q18/q12_one_cycle_pulse_detect.v</x:v>
      </x:c>
      <x:c r="O382" s="25" t="str">
        <x:v>https://github.com/kapiltrip/GoodQuestions/blob/a83e5a8a5d7262dd223ebbf4af2bf4c8434d9701/qa/pdf_q12_q18/q12_one_cycle_pulse_detect.v</x:v>
      </x:c>
      <x:c r="P382" s="4" t="str">
        <x:f>IF(B382="Done",IF(OR(J382="",K382="",L382=""),"Add run evidence","Recorded"),IF(OR(B382="Blocked",B382="N/A"),IF(M382="","Add reason","Reason recorded"),""))</x:f>
      </x:c>
      <x:c r="Q382" s="4" t="str">
        <x:v>a83e5a8a5d7262dd223ebbf4af2bf4c8434d9701</x:v>
      </x:c>
    </x:row>
    <x:row r="383" ht="86" customHeight="1">
      <x:c r="A383" s="15" t="str">
        <x:v>GQ-046</x:v>
      </x:c>
      <x:c r="B383" s="19" t="str">
        <x:v>Pending</x:v>
      </x:c>
      <x:c r="C383" s="15" t="str">
        <x:v>P1</x:v>
      </x:c>
      <x:c r="D383" s="15" t="str">
        <x:v>GoodQuestions</x:v>
      </x:c>
      <x:c r="E383" s="15" t="str">
        <x:v>Sequence detector</x:v>
      </x:c>
      <x:c r="F383" s="15" t="str">
        <x:v>10110 matches, overlaps and near misses</x:v>
      </x:c>
      <x:c r="G383" s="15" t="str">
        <x:v>clk, rst, x, y</x:v>
      </x:c>
      <x:c r="H383" s="15" t="str">
        <x:v>Drive 10110, near misses, repeated matches and an overlapping stream (10110110), one bit per clock using clk, rst, x. Reset midway through a prefix.</x:v>
      </x:c>
      <x:c r="I383" s="15" t="str">
        <x:v>Check y at each match ending. Overlap variants retain a matching suffix; nonoverlap variants discard it. Use the actual combinational/registered output timing in each module, not the name Mealy/Moore alone.</x:v>
      </x:c>
      <x:c r="J383" s="17"/>
      <x:c r="K383" s="24"/>
      <x:c r="L383" s="17"/>
      <x:c r="M383" s="17"/>
      <x:c r="N383" s="15" t="str">
        <x:v>qa/pdf_q12_q18/q13_seq_10110_fsms_abcd.v</x:v>
      </x:c>
      <x:c r="O383" s="26" t="str">
        <x:v>https://github.com/kapiltrip/GoodQuestions/blob/a83e5a8a5d7262dd223ebbf4af2bf4c8434d9701/qa/pdf_q12_q18/q13_seq_10110_fsms_abcd.v</x:v>
      </x:c>
      <x:c r="P383" s="15" t="str">
        <x:f>IF(B383="Done",IF(OR(J383="",K383="",L383=""),"Add run evidence","Recorded"),IF(OR(B383="Blocked",B383="N/A"),IF(M383="","Add reason","Reason recorded"),""))</x:f>
      </x:c>
      <x:c r="Q383" s="15" t="str">
        <x:v>a83e5a8a5d7262dd223ebbf4af2bf4c8434d9701</x:v>
      </x:c>
    </x:row>
    <x:row r="384" ht="86" customHeight="1">
      <x:c r="A384" s="4" t="str">
        <x:v>GQ-047</x:v>
      </x:c>
      <x:c r="B384" s="19" t="str">
        <x:v>Pending</x:v>
      </x:c>
      <x:c r="C384" s="4" t="str">
        <x:v>P1</x:v>
      </x:c>
      <x:c r="D384" s="4" t="str">
        <x:v>GoodQuestions</x:v>
      </x:c>
      <x:c r="E384" s="4" t="str">
        <x:v>Sequence detector</x:v>
      </x:c>
      <x:c r="F384" s="4" t="str">
        <x:v>10110 matches, overlaps and near misses</x:v>
      </x:c>
      <x:c r="G384" s="4" t="str">
        <x:v>clk, rst, din, match</x:v>
      </x:c>
      <x:c r="H384" s="4" t="str">
        <x:v>Drive 10110, near misses, repeated matches and an overlapping stream (10110110), one bit per clock using clk, rst, din. Reset midway through a prefix.</x:v>
      </x:c>
      <x:c r="I384" s="4" t="str">
        <x:v>Check match at each match ending. Overlap variants retain a matching suffix; nonoverlap variants discard it. Use the actual combinational/registered output timing in each module, not the name Mealy/Moore alone. Source mapping: match = (window == 5'b10110); match = (window == 5'b01101).</x:v>
      </x:c>
      <x:c r="J384" s="17"/>
      <x:c r="K384" s="24"/>
      <x:c r="L384" s="17"/>
      <x:c r="M384" s="17"/>
      <x:c r="N384" s="4" t="str">
        <x:v>qa/pdf_q12_q18/q14_last5_detect_10110.v</x:v>
      </x:c>
      <x:c r="O384" s="25" t="str">
        <x:v>https://github.com/kapiltrip/GoodQuestions/blob/a83e5a8a5d7262dd223ebbf4af2bf4c8434d9701/qa/pdf_q12_q18/q14_last5_detect_10110.v</x:v>
      </x:c>
      <x:c r="P384" s="4" t="str">
        <x:f>IF(B384="Done",IF(OR(J384="",K384="",L384=""),"Add run evidence","Recorded"),IF(OR(B384="Blocked",B384="N/A"),IF(M384="","Add reason","Reason recorded"),""))</x:f>
      </x:c>
      <x:c r="Q384" s="4" t="str">
        <x:v>a83e5a8a5d7262dd223ebbf4af2bf4c8434d9701</x:v>
      </x:c>
    </x:row>
    <x:row r="385" ht="96" customHeight="1">
      <x:c r="A385" s="15" t="str">
        <x:v>GQ-048</x:v>
      </x:c>
      <x:c r="B385" s="19" t="str">
        <x:v>Pending</x:v>
      </x:c>
      <x:c r="C385" s="15" t="str">
        <x:v>P1</x:v>
      </x:c>
      <x:c r="D385" s="15" t="str">
        <x:v>GoodQuestions</x:v>
      </x:c>
      <x:c r="E385" s="15" t="str">
        <x:v>Sequential logic</x:v>
      </x:c>
      <x:c r="F385" s="15" t="str">
        <x:v>Reset, control priority and cycle behavior</x:v>
      </x:c>
      <x:c r="G385" s="15" t="str">
        <x:v>clk, rst, start, cs1, cs2, cs3</x:v>
      </x:c>
      <x:c r="H385" s="15" t="str">
        <x:v>For q15_start_and_chipselects, initialize through its reset/load path, then vary available controls before active edges. Cover each control combination, holds, boundary transitions and reset during activity. Clock/reset events in this source: posedge clk, posedge rst.</x:v>
      </x:c>
      <x:c r="I385" s="15" t="str">
        <x:v>Check start, cs1, cs2, cs3 only at its defined valid time. Compare a cycle-by-cycle reference state/sequence, including reset polarity and priority. Sample registered results after nonblocking updates; combinational Mealy outputs may require a pre-edge check. Source mapping: start = (phase == 2'd0); cs1 = (phase == 2'd1) &amp;&amp; (sel == 2'd0); cs2 = (phase == 2'd1) &amp;&amp; (sel == 2'd1); cs3 = (phase == 2'd1) &amp;&amp; (sel == 2'd2).</x:v>
      </x:c>
      <x:c r="J385" s="17"/>
      <x:c r="K385" s="24"/>
      <x:c r="L385" s="17"/>
      <x:c r="M385" s="17"/>
      <x:c r="N385" s="15" t="str">
        <x:v>qa/pdf_q12_q18/q15_start_and_chipselects.v</x:v>
      </x:c>
      <x:c r="O385" s="26" t="str">
        <x:v>https://github.com/kapiltrip/GoodQuestions/blob/a83e5a8a5d7262dd223ebbf4af2bf4c8434d9701/qa/pdf_q12_q18/q15_start_and_chipselects.v</x:v>
      </x:c>
      <x:c r="P385" s="15" t="str">
        <x:f>IF(B385="Done",IF(OR(J385="",K385="",L385=""),"Add run evidence","Recorded"),IF(OR(B385="Blocked",B385="N/A"),IF(M385="","Add reason","Reason recorded"),""))</x:f>
      </x:c>
      <x:c r="Q385" s="15" t="str">
        <x:v>a83e5a8a5d7262dd223ebbf4af2bf4c8434d9701</x:v>
      </x:c>
    </x:row>
    <x:row r="386" ht="86" customHeight="1">
      <x:c r="A386" s="4" t="str">
        <x:v>GQ-049</x:v>
      </x:c>
      <x:c r="B386" s="19" t="str">
        <x:v>Pending</x:v>
      </x:c>
      <x:c r="C386" s="4" t="str">
        <x:v>P1</x:v>
      </x:c>
      <x:c r="D386" s="4" t="str">
        <x:v>GoodQuestions</x:v>
      </x:c>
      <x:c r="E386" s="4" t="str">
        <x:v>Sequential logic</x:v>
      </x:c>
      <x:c r="F386" s="4" t="str">
        <x:v>Reset, control priority and cycle behavior</x:v>
      </x:c>
      <x:c r="G386" s="4" t="str">
        <x:v>clk, rst, async_in, pulse</x:v>
      </x:c>
      <x:c r="H386" s="4" t="str">
        <x:v>For q16_sync_debounce_onepulse, initialize through its reset/load path, then vary async_in before active edges. Cover each control combination, holds, boundary transitions and reset during activity. Clock/reset events in this source: posedge clk, posedge rst.</x:v>
      </x:c>
      <x:c r="I386" s="4" t="str">
        <x:v>Check pulse only at its defined valid time. Compare a cycle-by-cycle reference state/sequence, including reset polarity and priority. Sample registered results after nonblocking updates; combinational Mealy outputs may require a pre-edge check. Source mapping: pulse = (q2 &amp; d1) &amp; (~d2).</x:v>
      </x:c>
      <x:c r="J386" s="17"/>
      <x:c r="K386" s="24"/>
      <x:c r="L386" s="17"/>
      <x:c r="M386" s="17"/>
      <x:c r="N386" s="4" t="str">
        <x:v>qa/pdf_q12_q18/q16_sync_debounce_onepulse.v</x:v>
      </x:c>
      <x:c r="O386" s="25" t="str">
        <x:v>https://github.com/kapiltrip/GoodQuestions/blob/a83e5a8a5d7262dd223ebbf4af2bf4c8434d9701/qa/pdf_q12_q18/q16_sync_debounce_onepulse.v</x:v>
      </x:c>
      <x:c r="P386" s="4" t="str">
        <x:f>IF(B386="Done",IF(OR(J386="",K386="",L386=""),"Add run evidence","Recorded"),IF(OR(B386="Blocked",B386="N/A"),IF(M386="","Add reason","Reason recorded"),""))</x:f>
      </x:c>
      <x:c r="Q386" s="4" t="str">
        <x:v>a83e5a8a5d7262dd223ebbf4af2bf4c8434d9701</x:v>
      </x:c>
    </x:row>
    <x:row r="387" ht="86" customHeight="1">
      <x:c r="A387" s="15" t="str">
        <x:v>GQ-050</x:v>
      </x:c>
      <x:c r="B387" s="19" t="str">
        <x:v>Pending</x:v>
      </x:c>
      <x:c r="C387" s="15" t="str">
        <x:v>P1</x:v>
      </x:c>
      <x:c r="D387" s="15" t="str">
        <x:v>GoodQuestions</x:v>
      </x:c>
      <x:c r="E387" s="15" t="str">
        <x:v>Gray code</x:v>
      </x:c>
      <x:c r="F387" s="15" t="str">
        <x:v>Conversion, wrap and local adjacency</x:v>
      </x:c>
      <x:c r="G387" s="15" t="str">
        <x:v>clk, rst, gray, bin</x:v>
      </x:c>
      <x:c r="H387" s="15" t="str">
        <x:v>Sweep binary/Gray input or clock the full small-width sequence using clk, rst, gray, bin; compare encoder/decoder round trips if both exist.</x:v>
      </x:c>
      <x:c r="I387" s="15" t="str">
        <x:v>Binary-to-Gray keeps the MSB and XORs adjacent bits; Gray-to-binary uses cumulative XOR from the MSB. Consecutive local count steps, including wrap, change one Gray bit; no change occurs while held. Source mapping: gray = bin ^ (bin &gt;&gt; 1); gray = bin_counter ^ (bin_counter &gt;&gt; 1).</x:v>
      </x:c>
      <x:c r="J387" s="17"/>
      <x:c r="K387" s="24"/>
      <x:c r="L387" s="17"/>
      <x:c r="M387" s="17"/>
      <x:c r="N387" s="15" t="str">
        <x:v>qa/pdf_q12_q18/q17_gray_counter_methods.v</x:v>
      </x:c>
      <x:c r="O387" s="26" t="str">
        <x:v>https://github.com/kapiltrip/GoodQuestions/blob/a83e5a8a5d7262dd223ebbf4af2bf4c8434d9701/qa/pdf_q12_q18/q17_gray_counter_methods.v</x:v>
      </x:c>
      <x:c r="P387" s="15" t="str">
        <x:f>IF(B387="Done",IF(OR(J387="",K387="",L387=""),"Add run evidence","Recorded"),IF(OR(B387="Blocked",B387="N/A"),IF(M387="","Add reason","Reason recorded"),""))</x:f>
      </x:c>
      <x:c r="Q387" s="15" t="str">
        <x:v>a83e5a8a5d7262dd223ebbf4af2bf4c8434d9701</x:v>
      </x:c>
    </x:row>
    <x:row r="388" ht="86" customHeight="1">
      <x:c r="A388" s="4" t="str">
        <x:v>GQ-051</x:v>
      </x:c>
      <x:c r="B388" s="19" t="str">
        <x:v>Pending</x:v>
      </x:c>
      <x:c r="C388" s="4" t="str">
        <x:v>P1</x:v>
      </x:c>
      <x:c r="D388" s="4" t="str">
        <x:v>GoodQuestions</x:v>
      </x:c>
      <x:c r="E388" s="4" t="str">
        <x:v>Sequential logic</x:v>
      </x:c>
      <x:c r="F388" s="4" t="str">
        <x:v>Reset, control priority and cycle behavior</x:v>
      </x:c>
      <x:c r="G388" s="4" t="str">
        <x:v>clk, rst_n, A, B</x:v>
      </x:c>
      <x:c r="H388" s="4" t="str">
        <x:v>For q23_timing_b_from_a, initialize through its reset/load path, then vary A before active edges. Cover each control combination, holds, boundary transitions and reset during activity. Clock/reset events in this source: posedge clk, negedge rst_n.</x:v>
      </x:c>
      <x:c r="I388" s="4" t="str">
        <x:v>Check B only at its defined valid time. Compare a cycle-by-cycle reference state/sequence, including reset polarity and priority. Sample registered results after nonblocking updates; combinational Mealy outputs may require a pre-edge check. Source mapping: B = A | a_delay.</x:v>
      </x:c>
      <x:c r="J388" s="17"/>
      <x:c r="K388" s="24"/>
      <x:c r="L388" s="17"/>
      <x:c r="M388" s="17"/>
      <x:c r="N388" s="4" t="str">
        <x:v>qa/pdf_q22_q23/q23_timing_b_from_a.v</x:v>
      </x:c>
      <x:c r="O388" s="25" t="str">
        <x:v>https://github.com/kapiltrip/GoodQuestions/blob/a83e5a8a5d7262dd223ebbf4af2bf4c8434d9701/qa/pdf_q22_q23/q23_timing_b_from_a.v</x:v>
      </x:c>
      <x:c r="P388" s="4" t="str">
        <x:f>IF(B388="Done",IF(OR(J388="",K388="",L388=""),"Add run evidence","Recorded"),IF(OR(B388="Blocked",B388="N/A"),IF(M388="","Add reason","Reason recorded"),""))</x:f>
      </x:c>
      <x:c r="Q388" s="4" t="str">
        <x:v>a83e5a8a5d7262dd223ebbf4af2bf4c8434d9701</x:v>
      </x:c>
    </x:row>
    <x:row r="389" ht="86" customHeight="1">
      <x:c r="A389" s="15" t="str">
        <x:v>GQ-052</x:v>
      </x:c>
      <x:c r="B389" s="19" t="str">
        <x:v>Pending</x:v>
      </x:c>
      <x:c r="C389" s="15" t="str">
        <x:v>P1</x:v>
      </x:c>
      <x:c r="D389" s="15" t="str">
        <x:v>GoodQuestions</x:v>
      </x:c>
      <x:c r="E389" s="15" t="str">
        <x:v>Clock divider</x:v>
      </x:c>
      <x:c r="F389" s="15" t="str">
        <x:v>Frequency, duty cycle and startup</x:v>
      </x:c>
      <x:c r="G389" s="15" t="str">
        <x:v>clk, rst_n, q</x:v>
      </x:c>
      <x:c r="H389" s="15" t="str">
        <x:v>Use a known 50% input clock through clk, rst_n; measure steady output period and high time for ten cycles, then reset during both phases and test legal parameter endpoints.</x:v>
      </x:c>
      <x:c r="I389" s="15" t="str">
        <x:v>Measure q against the named divide ratio and duty setting. Include both edges for half-cycle implementations. Distinguish a one-cycle enable pulse from a square clock; ignore documented startup transients only.</x:v>
      </x:c>
      <x:c r="J389" s="17"/>
      <x:c r="K389" s="24"/>
      <x:c r="L389" s="17"/>
      <x:c r="M389" s="17"/>
      <x:c r="N389" s="15" t="str">
        <x:v>qa/pdf_q25_q26/q25_clock_div2.v</x:v>
      </x:c>
      <x:c r="O389" s="26" t="str">
        <x:v>https://github.com/kapiltrip/GoodQuestions/blob/a83e5a8a5d7262dd223ebbf4af2bf4c8434d9701/qa/pdf_q25_q26/q25_clock_div2.v</x:v>
      </x:c>
      <x:c r="P389" s="15" t="str">
        <x:f>IF(B389="Done",IF(OR(J389="",K389="",L389=""),"Add run evidence","Recorded"),IF(OR(B389="Blocked",B389="N/A"),IF(M389="","Add reason","Reason recorded"),""))</x:f>
      </x:c>
      <x:c r="Q389" s="15" t="str">
        <x:v>a83e5a8a5d7262dd223ebbf4af2bf4c8434d9701</x:v>
      </x:c>
    </x:row>
    <x:row r="390" ht="96" customHeight="1">
      <x:c r="A390" s="4" t="str">
        <x:v>GQ-053</x:v>
      </x:c>
      <x:c r="B390" s="19" t="str">
        <x:v>Pending</x:v>
      </x:c>
      <x:c r="C390" s="4" t="str">
        <x:v>P1</x:v>
      </x:c>
      <x:c r="D390" s="4" t="str">
        <x:v>GoodQuestions</x:v>
      </x:c>
      <x:c r="E390" s="4" t="str">
        <x:v>Clock divider</x:v>
      </x:c>
      <x:c r="F390" s="4" t="str">
        <x:v>Frequency, duty cycle and startup</x:v>
      </x:c>
      <x:c r="G390" s="4" t="str">
        <x:v>clk, rst_n, clk_div3</x:v>
      </x:c>
      <x:c r="H390" s="4" t="str">
        <x:v>Use a known 50% input clock through clk, rst_n; measure steady output period and high time for ten cycles, then reset during both phases and test legal parameter endpoints.</x:v>
      </x:c>
      <x:c r="I390" s="4" t="str">
        <x:v>Measure clk_div3 against the named divide ratio and duty setting. Include both edges for half-cycle implementations. Distinguish a one-cycle enable pulse from a square clock; ignore documented startup transients only. Source mapping: clk_div3 = (DUTY_CYCLE == 33) ? duty_33 : (DUTY_CYCLE == 50) ? duty_50 : ((DUTY_CYCLE == 66) || (DUTY_CYCLE == 67)) ? duty_66 : (DUTY_CYCLE == 100) ? duty_100 : duty_50.</x:v>
      </x:c>
      <x:c r="J390" s="17"/>
      <x:c r="K390" s="24"/>
      <x:c r="L390" s="17"/>
      <x:c r="M390" s="17"/>
      <x:c r="N390" s="4" t="str">
        <x:v>qa/pdf_q25_q26/q26_clock_div3_duty50.v</x:v>
      </x:c>
      <x:c r="O390" s="25" t="str">
        <x:v>https://github.com/kapiltrip/GoodQuestions/blob/a83e5a8a5d7262dd223ebbf4af2bf4c8434d9701/qa/pdf_q25_q26/q26_clock_div3_duty50.v</x:v>
      </x:c>
      <x:c r="P390" s="4" t="str">
        <x:f>IF(B390="Done",IF(OR(J390="",K390="",L390=""),"Add run evidence","Recorded"),IF(OR(B390="Blocked",B390="N/A"),IF(M390="","Add reason","Reason recorded"),""))</x:f>
      </x:c>
      <x:c r="Q390" s="4" t="str">
        <x:v>a83e5a8a5d7262dd223ebbf4af2bf4c8434d9701</x:v>
      </x:c>
    </x:row>
    <x:row r="391" ht="86" customHeight="1">
      <x:c r="A391" s="15" t="str">
        <x:v>GQ-054</x:v>
      </x:c>
      <x:c r="B391" s="19" t="str">
        <x:v>Pending</x:v>
      </x:c>
      <x:c r="C391" s="15" t="str">
        <x:v>P1</x:v>
      </x:c>
      <x:c r="D391" s="15" t="str">
        <x:v>GoodQuestions</x:v>
      </x:c>
      <x:c r="E391" s="15" t="str">
        <x:v>Clock divider</x:v>
      </x:c>
      <x:c r="F391" s="15" t="str">
        <x:v>Frequency, duty cycle and startup</x:v>
      </x:c>
      <x:c r="G391" s="15" t="str">
        <x:v>clk, rst_n, clk_div</x:v>
      </x:c>
      <x:c r="H391" s="15" t="str">
        <x:v>Use a known 50% input clock through clk, rst_n; measure steady output period and high time for ten cycles, then reset during both phases and test legal parameter endpoints.</x:v>
      </x:c>
      <x:c r="I391" s="15" t="str">
        <x:v>Measure clk_div against the named divide ratio and duty setting. Include both edges for half-cycle implementations. Distinguish a one-cycle enable pulse from a square clock; ignore documented startup transients only. Source mapping: clk_div = ((N % 2) == 0) ? duty_even: duty_odd.</x:v>
      </x:c>
      <x:c r="J391" s="17"/>
      <x:c r="K391" s="24"/>
      <x:c r="L391" s="17"/>
      <x:c r="M391" s="17"/>
      <x:c r="N391" s="15" t="str">
        <x:v>qa/pdf_q27/q27_clock_div_n.v</x:v>
      </x:c>
      <x:c r="O391" s="26" t="str">
        <x:v>https://github.com/kapiltrip/GoodQuestions/blob/a83e5a8a5d7262dd223ebbf4af2bf4c8434d9701/qa/pdf_q27/q27_clock_div_n.v</x:v>
      </x:c>
      <x:c r="P391" s="15" t="str">
        <x:f>IF(B391="Done",IF(OR(J391="",K391="",L391=""),"Add run evidence","Recorded"),IF(OR(B391="Blocked",B391="N/A"),IF(M391="","Add reason","Reason recorded"),""))</x:f>
      </x:c>
      <x:c r="Q391" s="15" t="str">
        <x:v>a83e5a8a5d7262dd223ebbf4af2bf4c8434d9701</x:v>
      </x:c>
    </x:row>
    <x:row r="392" ht="86" customHeight="1">
      <x:c r="A392" s="4" t="str">
        <x:v>GQ-055</x:v>
      </x:c>
      <x:c r="B392" s="19" t="str">
        <x:v>Pending</x:v>
      </x:c>
      <x:c r="C392" s="4" t="str">
        <x:v>P1</x:v>
      </x:c>
      <x:c r="D392" s="4" t="str">
        <x:v>GoodQuestions</x:v>
      </x:c>
      <x:c r="E392" s="4" t="str">
        <x:v>Clock divider</x:v>
      </x:c>
      <x:c r="F392" s="4" t="str">
        <x:v>Frequency, duty cycle and startup</x:v>
      </x:c>
      <x:c r="G392" s="4" t="str">
        <x:v>clk, rst_n, clk_div</x:v>
      </x:c>
      <x:c r="H392" s="4" t="str">
        <x:v>Use a known 50% input clock through clk, rst_n; measure steady output period and high time for ten cycles, then reset during both phases and test legal parameter endpoints.</x:v>
      </x:c>
      <x:c r="I392" s="4" t="str">
        <x:v>Measure clk_div against the named divide ratio and duty setting. Include both edges for half-cycle implementations. Distinguish a one-cycle enable pulse from a square clock; ignore documented startup transients only.</x:v>
      </x:c>
      <x:c r="J392" s="17"/>
      <x:c r="K392" s="24"/>
      <x:c r="L392" s="17"/>
      <x:c r="M392" s="17"/>
      <x:c r="N392" s="4" t="str">
        <x:v>qa/pdf_q27/q27_clock_div_n_duty.v</x:v>
      </x:c>
      <x:c r="O392" s="25" t="str">
        <x:v>https://github.com/kapiltrip/GoodQuestions/blob/a83e5a8a5d7262dd223ebbf4af2bf4c8434d9701/qa/pdf_q27/q27_clock_div_n_duty.v</x:v>
      </x:c>
      <x:c r="P392" s="4" t="str">
        <x:f>IF(B392="Done",IF(OR(J392="",K392="",L392=""),"Add run evidence","Recorded"),IF(OR(B392="Blocked",B392="N/A"),IF(M392="","Add reason","Reason recorded"),""))</x:f>
      </x:c>
      <x:c r="Q392" s="4" t="str">
        <x:v>a83e5a8a5d7262dd223ebbf4af2bf4c8434d9701</x:v>
      </x:c>
    </x:row>
    <x:row r="393" ht="86" customHeight="1">
      <x:c r="A393" s="15" t="str">
        <x:v>GQ-056</x:v>
      </x:c>
      <x:c r="B393" s="19" t="str">
        <x:v>Pending</x:v>
      </x:c>
      <x:c r="C393" s="15" t="str">
        <x:v>P1</x:v>
      </x:c>
      <x:c r="D393" s="15" t="str">
        <x:v>GoodQuestions</x:v>
      </x:c>
      <x:c r="E393" s="15" t="str">
        <x:v>Counter</x:v>
      </x:c>
      <x:c r="F393" s="15" t="str">
        <x:v>Reset, rollover and control priority</x:v>
      </x:c>
      <x:c r="G393" s="15" t="str">
        <x:v>clk, rst_n, clk_div2, clk_div4, clk_div8, clk_div3, enable, tick</x:v>
      </x:c>
      <x:c r="H393" s="15" t="str">
        <x:v>Initialize q27_div2_toggle, q27_div4_counter, q27_div8_counter, q27_div3_duty50, q27_divn_tick; test every enable/load/direction combination in clk, rst_n. Run past both wrap boundaries and reassert reset away from and on active clock edges.</x:v>
      </x:c>
      <x:c r="I393" s="15" t="str">
        <x:v>clk_div2 follows the stated binary/BCD/modulo range and reset value. Count accepted enabled edges only, verify hold when specified, and check load versus count priority. A source without enable free-runs.</x:v>
      </x:c>
      <x:c r="J393" s="17"/>
      <x:c r="K393" s="24"/>
      <x:c r="L393" s="17"/>
      <x:c r="M393" s="17"/>
      <x:c r="N393" s="15" t="str">
        <x:v>qa/pdf_q27/q27_clock_divider_variants.v</x:v>
      </x:c>
      <x:c r="O393" s="26" t="str">
        <x:v>https://github.com/kapiltrip/GoodQuestions/blob/a83e5a8a5d7262dd223ebbf4af2bf4c8434d9701/qa/pdf_q27/q27_clock_divider_variants.v</x:v>
      </x:c>
      <x:c r="P393" s="15" t="str">
        <x:f>IF(B393="Done",IF(OR(J393="",K393="",L393=""),"Add run evidence","Recorded"),IF(OR(B393="Blocked",B393="N/A"),IF(M393="","Add reason","Reason recorded"),""))</x:f>
      </x:c>
      <x:c r="Q393" s="15" t="str">
        <x:v>a83e5a8a5d7262dd223ebbf4af2bf4c8434d9701</x:v>
      </x:c>
    </x:row>
    <x:row r="394" ht="96" customHeight="1">
      <x:c r="A394" s="4" t="str">
        <x:v>GQ-057</x:v>
      </x:c>
      <x:c r="B394" s="19" t="str">
        <x:v>Pending</x:v>
      </x:c>
      <x:c r="C394" s="4" t="str">
        <x:v>P1</x:v>
      </x:c>
      <x:c r="D394" s="4" t="str">
        <x:v>GoodQuestions</x:v>
      </x:c>
      <x:c r="E394" s="4" t="str">
        <x:v>Sequential logic</x:v>
      </x:c>
      <x:c r="F394" s="4" t="str">
        <x:v>Reset, control priority and cycle behavior</x:v>
      </x:c>
      <x:c r="G394" s="4" t="str">
        <x:v>d_async, clr_n, q</x:v>
      </x:c>
      <x:c r="H394" s="4" t="str">
        <x:v>For q29_async_rise_detect_when_clocks_off, q29_async_any_edge_detect_when_clocks_off, initialize through its reset/load path, then vary d_async, clr_n before active edges. Cover each control combination, holds, boundary transitions and reset during activity. Clock/reset events in this source: posedge d_async, negedge clr_n, negedge d_async.</x:v>
      </x:c>
      <x:c r="I394" s="4" t="str">
        <x:v>Check q only at its defined valid time. Compare a cycle-by-cycle reference state/sequence, including reset polarity and priority. Sample registered results after nonblocking updates; combinational Mealy outputs may require a pre-edge check. Source mapping: q = rise_seen | fall_seen.</x:v>
      </x:c>
      <x:c r="J394" s="17"/>
      <x:c r="K394" s="24"/>
      <x:c r="L394" s="17"/>
      <x:c r="M394" s="17"/>
      <x:c r="N394" s="4" t="str">
        <x:v>qa/pdf_q28_q30/q29_async_rise_detect_when_clocks_off.v</x:v>
      </x:c>
      <x:c r="O394" s="25" t="str">
        <x:v>https://github.com/kapiltrip/GoodQuestions/blob/a83e5a8a5d7262dd223ebbf4af2bf4c8434d9701/qa/pdf_q28_q30/q29_async_rise_detect_when_clocks_off.v</x:v>
      </x:c>
      <x:c r="P394" s="4" t="str">
        <x:f>IF(B394="Done",IF(OR(J394="",K394="",L394=""),"Add run evidence","Recorded"),IF(OR(B394="Blocked",B394="N/A"),IF(M394="","Add reason","Reason recorded"),""))</x:f>
      </x:c>
      <x:c r="Q394" s="4" t="str">
        <x:v>a83e5a8a5d7262dd223ebbf4af2bf4c8434d9701</x:v>
      </x:c>
    </x:row>
    <x:row r="395" ht="86" customHeight="1">
      <x:c r="A395" s="15" t="str">
        <x:v>GQ-058</x:v>
      </x:c>
      <x:c r="B395" s="19" t="str">
        <x:v>Pending</x:v>
      </x:c>
      <x:c r="C395" s="15" t="str">
        <x:v>P1</x:v>
      </x:c>
      <x:c r="D395" s="15" t="str">
        <x:v>GoodQuestions</x:v>
      </x:c>
      <x:c r="E395" s="15" t="str">
        <x:v>Gray code</x:v>
      </x:c>
      <x:c r="F395" s="15" t="str">
        <x:v>Conversion, wrap and local adjacency</x:v>
      </x:c>
      <x:c r="G395" s="15" t="str">
        <x:v>clk, rst_n, div3_out, state</x:v>
      </x:c>
      <x:c r="H395" s="15" t="str">
        <x:v>Sweep binary/Gray input or clock the full small-width sequence using clk, rst_n, div3_out, state; compare encoder/decoder round trips if both exist.</x:v>
      </x:c>
      <x:c r="I395" s="15" t="str">
        <x:v>Binary-to-Gray keeps the MSB and XORs adjacent bits; Gray-to-binary uses cumulative XOR from the MSB. Consecutive local count steps, including wrap, change one Gray bit; no change occurs while held.</x:v>
      </x:c>
      <x:c r="J395" s="17"/>
      <x:c r="K395" s="24"/>
      <x:c r="L395" s="17"/>
      <x:c r="M395" s="17"/>
      <x:c r="N395" s="15" t="str">
        <x:v>qa/pdf_q44/q44_div3_gray_fsm.v</x:v>
      </x:c>
      <x:c r="O395" s="26" t="str">
        <x:v>https://github.com/kapiltrip/GoodQuestions/blob/a83e5a8a5d7262dd223ebbf4af2bf4c8434d9701/qa/pdf_q44/q44_div3_gray_fsm.v</x:v>
      </x:c>
      <x:c r="P395" s="15" t="str">
        <x:f>IF(B395="Done",IF(OR(J395="",K395="",L395=""),"Add run evidence","Recorded"),IF(OR(B395="Blocked",B395="N/A"),IF(M395="","Add reason","Reason recorded"),""))</x:f>
      </x:c>
      <x:c r="Q395" s="15" t="str">
        <x:v>a83e5a8a5d7262dd223ebbf4af2bf4c8434d9701</x:v>
      </x:c>
    </x:row>
    <x:row r="396" ht="86" customHeight="1">
      <x:c r="A396" s="4" t="str">
        <x:v>GQ-059</x:v>
      </x:c>
      <x:c r="B396" s="19" t="str">
        <x:v>Pending</x:v>
      </x:c>
      <x:c r="C396" s="4" t="str">
        <x:v>P1</x:v>
      </x:c>
      <x:c r="D396" s="4" t="str">
        <x:v>GoodQuestions</x:v>
      </x:c>
      <x:c r="E396" s="4" t="str">
        <x:v>Arithmetic</x:v>
      </x:c>
      <x:c r="F396" s="4" t="str">
        <x:v>Arithmetic, carry/borrow and width</x:v>
      </x:c>
      <x:c r="G396" s="4" t="str">
        <x:v>a, b, sum, carry, cin, cout, diff, borrow, bin, bout</x:v>
      </x:c>
      <x:c r="H396" s="4" t="str">
        <x:v>Exercise a, b at zero, one, maximum, alternating patterns and long carry/borrow chains. Exhaust all combinations for small widths; include both carry-in/subtract settings when present.</x:v>
      </x:c>
      <x:c r="I396" s="4" t="str">
        <x:v>Compute the integer arithmetic independently, then apply the declared result width. Check every sum, carry bit including carry, borrow or signed overflow where exposed. Carry-out and signed overflow are different.  Source mapping: sum = a ^ b; carry = a &amp; b; sum = a ^ b ^ cin; sum = a ^ b ^ cin.</x:v>
      </x:c>
      <x:c r="J396" s="17"/>
      <x:c r="K396" s="24"/>
      <x:c r="L396" s="17"/>
      <x:c r="M396" s="17"/>
      <x:c r="N396" s="4" t="str">
        <x:v>qa/pdf_q45/q45_adders.v</x:v>
      </x:c>
      <x:c r="O396" s="25" t="str">
        <x:v>https://github.com/kapiltrip/GoodQuestions/blob/a83e5a8a5d7262dd223ebbf4af2bf4c8434d9701/qa/pdf_q45/q45_adders.v</x:v>
      </x:c>
      <x:c r="P396" s="4" t="str">
        <x:f>IF(B396="Done",IF(OR(J396="",K396="",L396=""),"Add run evidence","Recorded"),IF(OR(B396="Blocked",B396="N/A"),IF(M396="","Add reason","Reason recorded"),""))</x:f>
      </x:c>
      <x:c r="Q396" s="4" t="str">
        <x:v>a83e5a8a5d7262dd223ebbf4af2bf4c8434d9701</x:v>
      </x:c>
    </x:row>
    <x:row r="397" ht="86" customHeight="1">
      <x:c r="A397" s="15" t="str">
        <x:v>GQ-060</x:v>
      </x:c>
      <x:c r="B397" s="19" t="str">
        <x:v>Pending</x:v>
      </x:c>
      <x:c r="C397" s="15" t="str">
        <x:v>P1</x:v>
      </x:c>
      <x:c r="D397" s="15" t="str">
        <x:v>GoodQuestions</x:v>
      </x:c>
      <x:c r="E397" s="15" t="str">
        <x:v>Multiplexer</x:v>
      </x:c>
      <x:c r="F397" s="15" t="str">
        <x:v>Every select and unselected-input isolation</x:v>
      </x:c>
      <x:c r="G397" s="15" t="str">
        <x:v>d0, d1, s, y, a, b</x:v>
      </x:c>
      <x:c r="H397" s="15" t="str">
        <x:v>Sweep s through all encodings; set data inputs to distinguishable patterns, then toggle only unselected inputs.</x:v>
      </x:c>
      <x:c r="I397" s="15" t="str">
        <x:v>y equals the selected input. Exercise selected values 0 and 1 and vector extremes. Unselected changes do not affect the result; verify the default mapping for unused encodings. Source mapping: y = s ? d1 : d0.</x:v>
      </x:c>
      <x:c r="J397" s="17"/>
      <x:c r="K397" s="24"/>
      <x:c r="L397" s="17"/>
      <x:c r="M397" s="17"/>
      <x:c r="N397" s="15" t="str">
        <x:v>qa/pdf_q46/q46_gates_using_mux2.v</x:v>
      </x:c>
      <x:c r="O397" s="26" t="str">
        <x:v>https://github.com/kapiltrip/GoodQuestions/blob/a83e5a8a5d7262dd223ebbf4af2bf4c8434d9701/qa/pdf_q46/q46_gates_using_mux2.v</x:v>
      </x:c>
      <x:c r="P397" s="15" t="str">
        <x:f>IF(B397="Done",IF(OR(J397="",K397="",L397=""),"Add run evidence","Recorded"),IF(OR(B397="Blocked",B397="N/A"),IF(M397="","Add reason","Reason recorded"),""))</x:f>
      </x:c>
      <x:c r="Q397" s="15" t="str">
        <x:v>a83e5a8a5d7262dd223ebbf4af2bf4c8434d9701</x:v>
      </x:c>
    </x:row>
    <x:row r="398" ht="86" customHeight="1">
      <x:c r="A398" s="4" t="str">
        <x:v>GQ-061</x:v>
      </x:c>
      <x:c r="B398" s="19" t="str">
        <x:v>Pending</x:v>
      </x:c>
      <x:c r="C398" s="4" t="str">
        <x:v>P1</x:v>
      </x:c>
      <x:c r="D398" s="4" t="str">
        <x:v>GoodQuestions</x:v>
      </x:c>
      <x:c r="E398" s="4" t="str">
        <x:v>Arithmetic</x:v>
      </x:c>
      <x:c r="F398" s="4" t="str">
        <x:v>Arithmetic, carry/borrow and width</x:v>
      </x:c>
      <x:c r="G398" s="4" t="str">
        <x:v>a, control, y, b, subtract, result, cout</x:v>
      </x:c>
      <x:c r="H398" s="4" t="str">
        <x:v>Exercise a, control at zero, one, maximum, alternating patterns and long carry/borrow chains. Exhaust all combinations for small widths; include both carry-in/subtract settings when present.</x:v>
      </x:c>
      <x:c r="I398" s="4" t="str">
        <x:v>Compute the integer arithmetic independently, then apply the declared result width. Check every y bit including carry, borrow or signed overflow where exposed. Carry-out and signed overflow are different.  Source mapping: y = a ^ control; y = ~(a ^ control).</x:v>
      </x:c>
      <x:c r="J398" s="17"/>
      <x:c r="K398" s="24"/>
      <x:c r="L398" s="17"/>
      <x:c r="M398" s="17"/>
      <x:c r="N398" s="4" t="str">
        <x:v>qa/pdf_q47/q47_xor_controlled_inverter.v</x:v>
      </x:c>
      <x:c r="O398" s="25" t="str">
        <x:v>https://github.com/kapiltrip/GoodQuestions/blob/a83e5a8a5d7262dd223ebbf4af2bf4c8434d9701/qa/pdf_q47/q47_xor_controlled_inverter.v</x:v>
      </x:c>
      <x:c r="P398" s="4" t="str">
        <x:f>IF(B398="Done",IF(OR(J398="",K398="",L398=""),"Add run evidence","Recorded"),IF(OR(B398="Blocked",B398="N/A"),IF(M398="","Add reason","Reason recorded"),""))</x:f>
      </x:c>
      <x:c r="Q398" s="4" t="str">
        <x:v>a83e5a8a5d7262dd223ebbf4af2bf4c8434d9701</x:v>
      </x:c>
    </x:row>
    <x:row r="399" ht="86" customHeight="1">
      <x:c r="A399" s="15" t="str">
        <x:v>GQ-062</x:v>
      </x:c>
      <x:c r="B399" s="19" t="str">
        <x:v>Pending</x:v>
      </x:c>
      <x:c r="C399" s="15" t="str">
        <x:v>P1</x:v>
      </x:c>
      <x:c r="D399" s="15" t="str">
        <x:v>GoodQuestions</x:v>
      </x:c>
      <x:c r="E399" s="15" t="str">
        <x:v>Combinational logic</x:v>
      </x:c>
      <x:c r="F399" s="15" t="str">
        <x:v>Input combinations and output mapping</x:v>
      </x:c>
      <x:c r="G399" s="15" t="str">
        <x:v>a, y, b</x:v>
      </x:c>
      <x:c r="H399" s="15" t="str">
        <x:v>Drive a through binary combinations when small; for vectors use zero, all ones, alternating bits and walking one/zero. Toggle one input at a time and include rapid changes after a previous nonzero result.</x:v>
      </x:c>
      <x:c r="I399" s="15" t="str">
        <x:v>Check y against an independently written truth table. Combinational results must settle without a clock or stale retained values. Source mapping: y = ~(a &amp; a); y = ~(nand_ab &amp; nand_ab); y = ~(not_a &amp; not_b); y = ~(a_term &amp; b_term); y = ~(or_ab &amp; or_ab).</x:v>
      </x:c>
      <x:c r="J399" s="17"/>
      <x:c r="K399" s="24"/>
      <x:c r="L399" s="17"/>
      <x:c r="M399" s="17"/>
      <x:c r="N399" s="15" t="str">
        <x:v>qa/pdf_q48/q48_gates_using_nand.v</x:v>
      </x:c>
      <x:c r="O399" s="26" t="str">
        <x:v>https://github.com/kapiltrip/GoodQuestions/blob/a83e5a8a5d7262dd223ebbf4af2bf4c8434d9701/qa/pdf_q48/q48_gates_using_nand.v</x:v>
      </x:c>
      <x:c r="P399" s="15" t="str">
        <x:f>IF(B399="Done",IF(OR(J399="",K399="",L399=""),"Add run evidence","Recorded"),IF(OR(B399="Blocked",B399="N/A"),IF(M399="","Add reason","Reason recorded"),""))</x:f>
      </x:c>
      <x:c r="Q399" s="15" t="str">
        <x:v>a83e5a8a5d7262dd223ebbf4af2bf4c8434d9701</x:v>
      </x:c>
    </x:row>
    <x:row r="400" ht="86" customHeight="1">
      <x:c r="A400" s="4" t="str">
        <x:v>GQ-063</x:v>
      </x:c>
      <x:c r="B400" s="19" t="str">
        <x:v>Pending</x:v>
      </x:c>
      <x:c r="C400" s="4" t="str">
        <x:v>P1</x:v>
      </x:c>
      <x:c r="D400" s="4" t="str">
        <x:v>GoodQuestions</x:v>
      </x:c>
      <x:c r="E400" s="4" t="str">
        <x:v>Multiplexer</x:v>
      </x:c>
      <x:c r="F400" s="4" t="str">
        <x:v>Every select and unselected-input isolation</x:v>
      </x:c>
      <x:c r="G400" s="4" t="str">
        <x:v>d0, d1, s, y, a, b, c, d, s0, s1</x:v>
      </x:c>
      <x:c r="H400" s="4" t="str">
        <x:v>Sweep s through all encodings; set data inputs to distinguishable patterns, then toggle only unselected inputs.</x:v>
      </x:c>
      <x:c r="I400" s="4" t="str">
        <x:v>y equals the selected input. Exercise selected values 0 and 1 and vector extremes. Unselected changes do not affect the result; verify the default mapping for unused encodings. Source mapping: y = s ? d1 : d0; y = (~s1 &amp; ~s0 &amp; a) | (~s1 &amp; s0 &amp; b) | ( s1 &amp; ~s0 &amp; c) | ( s1 &amp; s0 &amp; d); y = s1 ? high_pair : low_pair.</x:v>
      </x:c>
      <x:c r="J400" s="17"/>
      <x:c r="K400" s="24"/>
      <x:c r="L400" s="17"/>
      <x:c r="M400" s="17"/>
      <x:c r="N400" s="4" t="str">
        <x:v>qa/pdf_q49/q49_mux4_from_mux2.v</x:v>
      </x:c>
      <x:c r="O400" s="25" t="str">
        <x:v>https://github.com/kapiltrip/GoodQuestions/blob/a83e5a8a5d7262dd223ebbf4af2bf4c8434d9701/qa/pdf_q49/q49_mux4_from_mux2.v</x:v>
      </x:c>
      <x:c r="P400" s="4" t="str">
        <x:f>IF(B400="Done",IF(OR(J400="",K400="",L400=""),"Add run evidence","Recorded"),IF(OR(B400="Blocked",B400="N/A"),IF(M400="","Add reason","Reason recorded"),""))</x:f>
      </x:c>
      <x:c r="Q400" s="4" t="str">
        <x:v>a83e5a8a5d7262dd223ebbf4af2bf4c8434d9701</x:v>
      </x:c>
    </x:row>
    <x:row r="401" ht="86" customHeight="1">
      <x:c r="A401" s="15" t="str">
        <x:v>GQ-064</x:v>
      </x:c>
      <x:c r="B401" s="19" t="str">
        <x:v>Pending</x:v>
      </x:c>
      <x:c r="C401" s="15" t="str">
        <x:v>P1</x:v>
      </x:c>
      <x:c r="D401" s="15" t="str">
        <x:v>GoodQuestions</x:v>
      </x:c>
      <x:c r="E401" s="15" t="str">
        <x:v>Multiplexer</x:v>
      </x:c>
      <x:c r="F401" s="15" t="str">
        <x:v>Every select and unselected-input isolation</x:v>
      </x:c>
      <x:c r="G401" s="15" t="str">
        <x:v>a, b, sel, y</x:v>
      </x:c>
      <x:c r="H401" s="15" t="str">
        <x:v>Sweep sel through all encodings; set data inputs to distinguishable patterns, then toggle only unselected inputs.</x:v>
      </x:c>
      <x:c r="I401" s="15" t="str">
        <x:v>y equals the selected input. Exercise selected values 0 and 1 and vector extremes. Unselected changes do not affect the result; verify the default mapping for unused encodings.</x:v>
      </x:c>
      <x:c r="J401" s="17"/>
      <x:c r="K401" s="24"/>
      <x:c r="L401" s="17"/>
      <x:c r="M401" s="17"/>
      <x:c r="N401" s="15" t="str">
        <x:v>qa/q01_mux/mux2_behavioral.v</x:v>
      </x:c>
      <x:c r="O401" s="26" t="str">
        <x:v>https://github.com/kapiltrip/GoodQuestions/blob/a83e5a8a5d7262dd223ebbf4af2bf4c8434d9701/qa/q01_mux/mux2_behavioral.v</x:v>
      </x:c>
      <x:c r="P401" s="15" t="str">
        <x:f>IF(B401="Done",IF(OR(J401="",K401="",L401=""),"Add run evidence","Recorded"),IF(OR(B401="Blocked",B401="N/A"),IF(M401="","Add reason","Reason recorded"),""))</x:f>
      </x:c>
      <x:c r="Q401" s="15" t="str">
        <x:v>a83e5a8a5d7262dd223ebbf4af2bf4c8434d9701</x:v>
      </x:c>
    </x:row>
    <x:row r="402" ht="86" customHeight="1">
      <x:c r="A402" s="4" t="str">
        <x:v>GQ-065</x:v>
      </x:c>
      <x:c r="B402" s="19" t="str">
        <x:v>Pending</x:v>
      </x:c>
      <x:c r="C402" s="4" t="str">
        <x:v>P1</x:v>
      </x:c>
      <x:c r="D402" s="4" t="str">
        <x:v>GoodQuestions</x:v>
      </x:c>
      <x:c r="E402" s="4" t="str">
        <x:v>Multiplexer</x:v>
      </x:c>
      <x:c r="F402" s="4" t="str">
        <x:v>Every select and unselected-input isolation</x:v>
      </x:c>
      <x:c r="G402" s="4" t="str">
        <x:v>a, b, sel, y</x:v>
      </x:c>
      <x:c r="H402" s="4" t="str">
        <x:v>Sweep sel through all encodings; set data inputs to distinguishable patterns, then toggle only unselected inputs.</x:v>
      </x:c>
      <x:c r="I402" s="4" t="str">
        <x:v>y equals the selected input. Exercise selected values 0 and 1 and vector extremes. Unselected changes do not affect the result; verify the default mapping for unused encodings. Source mapping: y = sel ? b : a.</x:v>
      </x:c>
      <x:c r="J402" s="17"/>
      <x:c r="K402" s="24"/>
      <x:c r="L402" s="17"/>
      <x:c r="M402" s="17"/>
      <x:c r="N402" s="4" t="str">
        <x:v>qa/q01_mux/mux2_dataflow.v</x:v>
      </x:c>
      <x:c r="O402" s="25" t="str">
        <x:v>https://github.com/kapiltrip/GoodQuestions/blob/a83e5a8a5d7262dd223ebbf4af2bf4c8434d9701/qa/q01_mux/mux2_dataflow.v</x:v>
      </x:c>
      <x:c r="P402" s="4" t="str">
        <x:f>IF(B402="Done",IF(OR(J402="",K402="",L402=""),"Add run evidence","Recorded"),IF(OR(B402="Blocked",B402="N/A"),IF(M402="","Add reason","Reason recorded"),""))</x:f>
      </x:c>
      <x:c r="Q402" s="4" t="str">
        <x:v>a83e5a8a5d7262dd223ebbf4af2bf4c8434d9701</x:v>
      </x:c>
    </x:row>
    <x:row r="403" ht="86" customHeight="1">
      <x:c r="A403" s="15" t="str">
        <x:v>GQ-066</x:v>
      </x:c>
      <x:c r="B403" s="19" t="str">
        <x:v>Pending</x:v>
      </x:c>
      <x:c r="C403" s="15" t="str">
        <x:v>P1</x:v>
      </x:c>
      <x:c r="D403" s="15" t="str">
        <x:v>GoodQuestions</x:v>
      </x:c>
      <x:c r="E403" s="15" t="str">
        <x:v>Multiplexer</x:v>
      </x:c>
      <x:c r="F403" s="15" t="str">
        <x:v>Every select and unselected-input isolation</x:v>
      </x:c>
      <x:c r="G403" s="15" t="str">
        <x:v>a, b, sel, y</x:v>
      </x:c>
      <x:c r="H403" s="15" t="str">
        <x:v>Sweep sel through all encodings; set data inputs to distinguishable patterns, then toggle only unselected inputs.</x:v>
      </x:c>
      <x:c r="I403" s="15" t="str">
        <x:v>y equals the selected input. Exercise selected values 0 and 1 and vector extremes. Unselected changes do not affect the result; verify the default mapping for unused encodings.</x:v>
      </x:c>
      <x:c r="J403" s="17"/>
      <x:c r="K403" s="24"/>
      <x:c r="L403" s="17"/>
      <x:c r="M403" s="17"/>
      <x:c r="N403" s="15" t="str">
        <x:v>qa/q01_mux/mux2_gatelevel.v</x:v>
      </x:c>
      <x:c r="O403" s="26" t="str">
        <x:v>https://github.com/kapiltrip/GoodQuestions/blob/a83e5a8a5d7262dd223ebbf4af2bf4c8434d9701/qa/q01_mux/mux2_gatelevel.v</x:v>
      </x:c>
      <x:c r="P403" s="15" t="str">
        <x:f>IF(B403="Done",IF(OR(J403="",K403="",L403=""),"Add run evidence","Recorded"),IF(OR(B403="Blocked",B403="N/A"),IF(M403="","Add reason","Reason recorded"),""))</x:f>
      </x:c>
      <x:c r="Q403" s="15" t="str">
        <x:v>a83e5a8a5d7262dd223ebbf4af2bf4c8434d9701</x:v>
      </x:c>
    </x:row>
    <x:row r="404" ht="86" customHeight="1">
      <x:c r="A404" s="4" t="str">
        <x:v>GQ-067</x:v>
      </x:c>
      <x:c r="B404" s="19" t="str">
        <x:v>Pending</x:v>
      </x:c>
      <x:c r="C404" s="4" t="str">
        <x:v>P1</x:v>
      </x:c>
      <x:c r="D404" s="4" t="str">
        <x:v>GoodQuestions</x:v>
      </x:c>
      <x:c r="E404" s="4" t="str">
        <x:v>Sequential logic</x:v>
      </x:c>
      <x:c r="F404" s="4" t="str">
        <x:v>Reset, control priority and cycle behavior</x:v>
      </x:c>
      <x:c r="G404" s="4" t="str">
        <x:v>clk, rst, d, q</x:v>
      </x:c>
      <x:c r="H404" s="4" t="str">
        <x:v>For dff_async_reset, initialize through its reset/load path, then vary d before active edges. Cover each control combination, holds, boundary transitions and reset during activity. Clock/reset events in this source: posedge clk, posedge rst.</x:v>
      </x:c>
      <x:c r="I404" s="4" t="str">
        <x:v>Check q only at its defined valid time. Compare a cycle-by-cycle reference state/sequence, including reset polarity and priority. Sample registered results after nonblocking updates; combinational Mealy outputs may require a pre-edge check.</x:v>
      </x:c>
      <x:c r="J404" s="17"/>
      <x:c r="K404" s="24"/>
      <x:c r="L404" s="17"/>
      <x:c r="M404" s="17"/>
      <x:c r="N404" s="4" t="str">
        <x:v>qa/q02_ff/dff_async_reset.v</x:v>
      </x:c>
      <x:c r="O404" s="25" t="str">
        <x:v>https://github.com/kapiltrip/GoodQuestions/blob/a83e5a8a5d7262dd223ebbf4af2bf4c8434d9701/qa/q02_ff/dff_async_reset.v</x:v>
      </x:c>
      <x:c r="P404" s="4" t="str">
        <x:f>IF(B404="Done",IF(OR(J404="",K404="",L404=""),"Add run evidence","Recorded"),IF(OR(B404="Blocked",B404="N/A"),IF(M404="","Add reason","Reason recorded"),""))</x:f>
      </x:c>
      <x:c r="Q404" s="4" t="str">
        <x:v>a83e5a8a5d7262dd223ebbf4af2bf4c8434d9701</x:v>
      </x:c>
    </x:row>
    <x:row r="405" ht="86" customHeight="1">
      <x:c r="A405" s="15" t="str">
        <x:v>GQ-068</x:v>
      </x:c>
      <x:c r="B405" s="19" t="str">
        <x:v>Pending</x:v>
      </x:c>
      <x:c r="C405" s="15" t="str">
        <x:v>P1</x:v>
      </x:c>
      <x:c r="D405" s="15" t="str">
        <x:v>GoodQuestions</x:v>
      </x:c>
      <x:c r="E405" s="15" t="str">
        <x:v>Sequential logic</x:v>
      </x:c>
      <x:c r="F405" s="15" t="str">
        <x:v>Reset, control priority and cycle behavior</x:v>
      </x:c>
      <x:c r="G405" s="15" t="str">
        <x:v>clk, rst, d, q</x:v>
      </x:c>
      <x:c r="H405" s="15" t="str">
        <x:v>For dff_sync_reset, initialize through its reset/load path, then vary d before active edges. Cover each control combination, holds, boundary transitions and reset during activity. Clock/reset events in this source: posedge clk.</x:v>
      </x:c>
      <x:c r="I405" s="15" t="str">
        <x:v>Check q only at its defined valid time. Compare a cycle-by-cycle reference state/sequence, including reset polarity and priority. Sample registered results after nonblocking updates; combinational Mealy outputs may require a pre-edge check.</x:v>
      </x:c>
      <x:c r="J405" s="17"/>
      <x:c r="K405" s="24"/>
      <x:c r="L405" s="17"/>
      <x:c r="M405" s="17"/>
      <x:c r="N405" s="15" t="str">
        <x:v>qa/q02_ff/dff_sync_reset.v</x:v>
      </x:c>
      <x:c r="O405" s="26" t="str">
        <x:v>https://github.com/kapiltrip/GoodQuestions/blob/a83e5a8a5d7262dd223ebbf4af2bf4c8434d9701/qa/q02_ff/dff_sync_reset.v</x:v>
      </x:c>
      <x:c r="P405" s="15" t="str">
        <x:f>IF(B405="Done",IF(OR(J405="",K405="",L405=""),"Add run evidence","Recorded"),IF(OR(B405="Blocked",B405="N/A"),IF(M405="","Add reason","Reason recorded"),""))</x:f>
      </x:c>
      <x:c r="Q405" s="15" t="str">
        <x:v>a83e5a8a5d7262dd223ebbf4af2bf4c8434d9701</x:v>
      </x:c>
    </x:row>
    <x:row r="406" ht="86" customHeight="1">
      <x:c r="A406" s="4" t="str">
        <x:v>GQ-069</x:v>
      </x:c>
      <x:c r="B406" s="19" t="str">
        <x:v>Pending</x:v>
      </x:c>
      <x:c r="C406" s="4" t="str">
        <x:v>P1</x:v>
      </x:c>
      <x:c r="D406" s="4" t="str">
        <x:v>GoodQuestions</x:v>
      </x:c>
      <x:c r="E406" s="4" t="str">
        <x:v>Sequential logic</x:v>
      </x:c>
      <x:c r="F406" s="4" t="str">
        <x:v>Reset, control priority and cycle behavior</x:v>
      </x:c>
      <x:c r="G406" s="4" t="str">
        <x:v>clk, rst, d, q</x:v>
      </x:c>
      <x:c r="H406" s="4" t="str">
        <x:v>For edge_detect_both, edge_detect_both_async_d, initialize through its reset/load path, then vary d before active edges. Cover each control combination, holds, boundary transitions and reset during activity. Clock/reset events in this source: posedge clk, posedge rst.</x:v>
      </x:c>
      <x:c r="I406" s="4" t="str">
        <x:v>Check q only at its defined valid time. Compare a cycle-by-cycle reference state/sequence, including reset polarity and priority. Sample registered results after nonblocking updates; combinational Mealy outputs may require a pre-edge check.</x:v>
      </x:c>
      <x:c r="J406" s="17"/>
      <x:c r="K406" s="24"/>
      <x:c r="L406" s="17"/>
      <x:c r="M406" s="17"/>
      <x:c r="N406" s="4" t="str">
        <x:v>qa/q03_edge_detect/edge_detect_both.v</x:v>
      </x:c>
      <x:c r="O406" s="25" t="str">
        <x:v>https://github.com/kapiltrip/GoodQuestions/blob/a83e5a8a5d7262dd223ebbf4af2bf4c8434d9701/qa/q03_edge_detect/edge_detect_both.v</x:v>
      </x:c>
      <x:c r="P406" s="4" t="str">
        <x:f>IF(B406="Done",IF(OR(J406="",K406="",L406=""),"Add run evidence","Recorded"),IF(OR(B406="Blocked",B406="N/A"),IF(M406="","Add reason","Reason recorded"),""))</x:f>
      </x:c>
      <x:c r="Q406" s="4" t="str">
        <x:v>a83e5a8a5d7262dd223ebbf4af2bf4c8434d9701</x:v>
      </x:c>
    </x:row>
    <x:row r="407" ht="86" customHeight="1">
      <x:c r="A407" s="15" t="str">
        <x:v>GQ-070</x:v>
      </x:c>
      <x:c r="B407" s="19" t="str">
        <x:v>Pending</x:v>
      </x:c>
      <x:c r="C407" s="15" t="str">
        <x:v>P1</x:v>
      </x:c>
      <x:c r="D407" s="15" t="str">
        <x:v>GoodQuestions</x:v>
      </x:c>
      <x:c r="E407" s="15" t="str">
        <x:v>Sequential logic</x:v>
      </x:c>
      <x:c r="F407" s="15" t="str">
        <x:v>Reset, control priority and cycle behavior</x:v>
      </x:c>
      <x:c r="G407" s="15" t="str">
        <x:v>clk, rst_n, d, q</x:v>
      </x:c>
      <x:c r="H407" s="15" t="str">
        <x:v>For edge_to_1cycle_pulse, initialize through its reset/load path, then vary d before active edges. Cover each control combination, holds, boundary transitions and reset during activity. Clock/reset events in this source: posedge clk.</x:v>
      </x:c>
      <x:c r="I407" s="15" t="str">
        <x:v>Check q only at its defined valid time. Compare a cycle-by-cycle reference state/sequence, including reset polarity and priority. Sample registered results after nonblocking updates; combinational Mealy outputs may require a pre-edge check.</x:v>
      </x:c>
      <x:c r="J407" s="17"/>
      <x:c r="K407" s="24"/>
      <x:c r="L407" s="17"/>
      <x:c r="M407" s="17"/>
      <x:c r="N407" s="15" t="str">
        <x:v>qa/q04_rise_pulse/edge_to_1cycle_pulse.v</x:v>
      </x:c>
      <x:c r="O407" s="26" t="str">
        <x:v>https://github.com/kapiltrip/GoodQuestions/blob/a83e5a8a5d7262dd223ebbf4af2bf4c8434d9701/qa/q04_rise_pulse/edge_to_1cycle_pulse.v</x:v>
      </x:c>
      <x:c r="P407" s="15" t="str">
        <x:f>IF(B407="Done",IF(OR(J407="",K407="",L407=""),"Add run evidence","Recorded"),IF(OR(B407="Blocked",B407="N/A"),IF(M407="","Add reason","Reason recorded"),""))</x:f>
      </x:c>
      <x:c r="Q407" s="15" t="str">
        <x:v>a83e5a8a5d7262dd223ebbf4af2bf4c8434d9701</x:v>
      </x:c>
    </x:row>
    <x:row r="408" ht="86" customHeight="1">
      <x:c r="A408" s="4" t="str">
        <x:v>GQ-071</x:v>
      </x:c>
      <x:c r="B408" s="19" t="str">
        <x:v>Pending</x:v>
      </x:c>
      <x:c r="C408" s="4" t="str">
        <x:v>P1</x:v>
      </x:c>
      <x:c r="D408" s="4" t="str">
        <x:v>GoodQuestions</x:v>
      </x:c>
      <x:c r="E408" s="4" t="str">
        <x:v>Sequence detector</x:v>
      </x:c>
      <x:c r="F408" s="4" t="str">
        <x:v>10110 matches, overlaps and near misses</x:v>
      </x:c>
      <x:c r="G408" s="4" t="str">
        <x:v>clk, rst_n, x, y</x:v>
      </x:c>
      <x:c r="H408" s="4" t="str">
        <x:v>Drive 10110, near misses, repeated matches and an overlapping stream (10110110), one bit per clock using clk, rst_n, x. Reset midway through a prefix.</x:v>
      </x:c>
      <x:c r="I408" s="4" t="str">
        <x:v>Check y at each match ending. Overlap variants retain a matching suffix; nonoverlap variants discard it. Use the actual combinational/registered output timing in each module, not the name Mealy/Moore alone.</x:v>
      </x:c>
      <x:c r="J408" s="17"/>
      <x:c r="K408" s="24"/>
      <x:c r="L408" s="17"/>
      <x:c r="M408" s="17"/>
      <x:c r="N408" s="4" t="str">
        <x:v>qa/q05_seq_10110/seq_10110_fsms.v</x:v>
      </x:c>
      <x:c r="O408" s="25" t="str">
        <x:v>https://github.com/kapiltrip/GoodQuestions/blob/a83e5a8a5d7262dd223ebbf4af2bf4c8434d9701/qa/q05_seq_10110/seq_10110_fsms.v</x:v>
      </x:c>
      <x:c r="P408" s="4" t="str">
        <x:f>IF(B408="Done",IF(OR(J408="",K408="",L408=""),"Add run evidence","Recorded"),IF(OR(B408="Blocked",B408="N/A"),IF(M408="","Add reason","Reason recorded"),""))</x:f>
      </x:c>
      <x:c r="Q408" s="4" t="str">
        <x:v>a83e5a8a5d7262dd223ebbf4af2bf4c8434d9701</x:v>
      </x:c>
    </x:row>
    <x:row r="409" ht="86" customHeight="1">
      <x:c r="A409" s="15" t="str">
        <x:v>GQ-072</x:v>
      </x:c>
      <x:c r="B409" s="19" t="str">
        <x:v>Pending</x:v>
      </x:c>
      <x:c r="C409" s="15" t="str">
        <x:v>P1</x:v>
      </x:c>
      <x:c r="D409" s="15" t="str">
        <x:v>GoodQuestions</x:v>
      </x:c>
      <x:c r="E409" s="15" t="str">
        <x:v>Sequential logic</x:v>
      </x:c>
      <x:c r="F409" s="15" t="str">
        <x:v>Reset, control priority and cycle behavior</x:v>
      </x:c>
      <x:c r="G409" s="15" t="str">
        <x:v>clk, rst_n, din, match</x:v>
      </x:c>
      <x:c r="H409" s="15" t="str">
        <x:v>For detect, initialize through its reset/load path, then vary din before active edges. Cover each control combination, holds, boundary transitions and reset during activity. Clock/reset events in this source: posedge clk, negedge rst_n.</x:v>
      </x:c>
      <x:c r="I409" s="15" t="str">
        <x:v>Check match only at its defined valid time. Compare a cycle-by-cycle reference state/sequence, including reset polarity and priority. Sample registered results after nonblocking updates; combinational Mealy outputs may require a pre-edge check. Source mapping: match = (shreg == 5'b10110).</x:v>
      </x:c>
      <x:c r="J409" s="17"/>
      <x:c r="K409" s="24"/>
      <x:c r="L409" s="17"/>
      <x:c r="M409" s="17"/>
      <x:c r="N409" s="15" t="str">
        <x:v>qa/q06_detect/detect.v</x:v>
      </x:c>
      <x:c r="O409" s="26" t="str">
        <x:v>https://github.com/kapiltrip/GoodQuestions/blob/a83e5a8a5d7262dd223ebbf4af2bf4c8434d9701/qa/q06_detect/detect.v</x:v>
      </x:c>
      <x:c r="P409" s="15" t="str">
        <x:f>IF(B409="Done",IF(OR(J409="",K409="",L409=""),"Add run evidence","Recorded"),IF(OR(B409="Blocked",B409="N/A"),IF(M409="","Add reason","Reason recorded"),""))</x:f>
      </x:c>
      <x:c r="Q409" s="15" t="str">
        <x:v>a83e5a8a5d7262dd223ebbf4af2bf4c8434d9701</x:v>
      </x:c>
    </x:row>
    <x:row r="410" ht="96" customHeight="1">
      <x:c r="A410" s="4" t="str">
        <x:v>GQ-073</x:v>
      </x:c>
      <x:c r="B410" s="19" t="str">
        <x:v>Pending</x:v>
      </x:c>
      <x:c r="C410" s="4" t="str">
        <x:v>P1</x:v>
      </x:c>
      <x:c r="D410" s="4" t="str">
        <x:v>GoodQuestions</x:v>
      </x:c>
      <x:c r="E410" s="4" t="str">
        <x:v>Sequential logic</x:v>
      </x:c>
      <x:c r="F410" s="4" t="str">
        <x:v>Reset, control priority and cycle behavior</x:v>
      </x:c>
      <x:c r="G410" s="4" t="str">
        <x:v>clk, rst_n, start, CS1, CS2, CS3</x:v>
      </x:c>
      <x:c r="H410" s="4" t="str">
        <x:v>For start_and_chipselects, initialize through its reset/load path, then vary available controls before active edges. Cover each control combination, holds, boundary transitions and reset during activity. Clock/reset events in this source: posedge clk, negedge rst_n.</x:v>
      </x:c>
      <x:c r="I410" s="4" t="str">
        <x:v>Check start, CS1, CS2, CS3 only at its defined valid time. Compare a cycle-by-cycle reference state/sequence, including reset polarity and priority. Sample registered results after nonblocking updates; combinational Mealy outputs may require a pre-edge check. Source mapping: start = (counter == 2'd1); CS1 = start_d &amp; (sel == 2'd0); CS2 = start_d &amp; (sel == 2'd1); CS3 = start_d &amp; (sel == 2'd2).</x:v>
      </x:c>
      <x:c r="J410" s="17"/>
      <x:c r="K410" s="24"/>
      <x:c r="L410" s="17"/>
      <x:c r="M410" s="17"/>
      <x:c r="N410" s="4" t="str">
        <x:v>qa/q07_start_and_chipselects/start_and_chipselects.v</x:v>
      </x:c>
      <x:c r="O410" s="25" t="str">
        <x:v>https://github.com/kapiltrip/GoodQuestions/blob/a83e5a8a5d7262dd223ebbf4af2bf4c8434d9701/qa/q07_start_and_chipselects/start_and_chipselects.v</x:v>
      </x:c>
      <x:c r="P410" s="4" t="str">
        <x:f>IF(B410="Done",IF(OR(J410="",K410="",L410=""),"Add run evidence","Recorded"),IF(OR(B410="Blocked",B410="N/A"),IF(M410="","Add reason","Reason recorded"),""))</x:f>
      </x:c>
      <x:c r="Q410" s="4" t="str">
        <x:v>a83e5a8a5d7262dd223ebbf4af2bf4c8434d9701</x:v>
      </x:c>
    </x:row>
    <x:row r="411" ht="86" customHeight="1">
      <x:c r="A411" s="15" t="str">
        <x:v>GQ-074</x:v>
      </x:c>
      <x:c r="B411" s="19" t="str">
        <x:v>Pending</x:v>
      </x:c>
      <x:c r="C411" s="15" t="str">
        <x:v>P1</x:v>
      </x:c>
      <x:c r="D411" s="15" t="str">
        <x:v>GoodQuestions</x:v>
      </x:c>
      <x:c r="E411" s="15" t="str">
        <x:v>Sequential logic</x:v>
      </x:c>
      <x:c r="F411" s="15" t="str">
        <x:v>Reset, control priority and cycle behavior</x:v>
      </x:c>
      <x:c r="G411" s="15" t="str">
        <x:v>clk, rst_n, async_in, pulse</x:v>
      </x:c>
      <x:c r="H411" s="15" t="str">
        <x:v>For sync_debounce_onepulse, initialize through its reset/load path, then vary async_in before active edges. Cover each control combination, holds, boundary transitions and reset during activity. Clock/reset events in this source: posedge clk, negedge rst_n.</x:v>
      </x:c>
      <x:c r="I411" s="15" t="str">
        <x:v>Check pulse only at its defined valid time. Compare a cycle-by-cycle reference state/sequence, including reset polarity and priority. Sample registered results after nonblocking updates; combinational Mealy outputs may require a pre-edge check. Source mapping: pulse = (q2 &amp; d1) &amp; ~d2.</x:v>
      </x:c>
      <x:c r="J411" s="17"/>
      <x:c r="K411" s="24"/>
      <x:c r="L411" s="17"/>
      <x:c r="M411" s="17"/>
      <x:c r="N411" s="15" t="str">
        <x:v>qa/q08_sync_debounce_onepulse/sync_debounce_onepulse.v</x:v>
      </x:c>
      <x:c r="O411" s="26" t="str">
        <x:v>https://github.com/kapiltrip/GoodQuestions/blob/a83e5a8a5d7262dd223ebbf4af2bf4c8434d9701/qa/q08_sync_debounce_onepulse/sync_debounce_onepulse.v</x:v>
      </x:c>
      <x:c r="P411" s="15" t="str">
        <x:f>IF(B411="Done",IF(OR(J411="",K411="",L411=""),"Add run evidence","Recorded"),IF(OR(B411="Blocked",B411="N/A"),IF(M411="","Add reason","Reason recorded"),""))</x:f>
      </x:c>
      <x:c r="Q411" s="15" t="str">
        <x:v>a83e5a8a5d7262dd223ebbf4af2bf4c8434d9701</x:v>
      </x:c>
    </x:row>
    <x:row r="412" ht="86" customHeight="1">
      <x:c r="A412" s="4" t="str">
        <x:v>GQ-075</x:v>
      </x:c>
      <x:c r="B412" s="19" t="str">
        <x:v>Pending</x:v>
      </x:c>
      <x:c r="C412" s="4" t="str">
        <x:v>P1</x:v>
      </x:c>
      <x:c r="D412" s="4" t="str">
        <x:v>GoodQuestions</x:v>
      </x:c>
      <x:c r="E412" s="4" t="str">
        <x:v>Gray code</x:v>
      </x:c>
      <x:c r="F412" s="4" t="str">
        <x:v>Conversion, wrap and local adjacency</x:v>
      </x:c>
      <x:c r="G412" s="4" t="str">
        <x:v>clk, rst_n, gray, bin, gray_q, bin_q</x:v>
      </x:c>
      <x:c r="H412" s="4" t="str">
        <x:v>Sweep binary/Gray input or clock the full small-width sequence using clk, rst_n, gray, bin, gray_q, bin_q; compare encoder/decoder round trips if both exist.</x:v>
      </x:c>
      <x:c r="I412" s="4" t="str">
        <x:v>Binary-to-Gray keeps the MSB and XORs adjacent bits; Gray-to-binary uses cumulative XOR from the MSB. Consecutive local count steps, including wrap, change one Gray bit; no change occurs while held. Source mapping: gray = bin ^ (bin &gt;&gt; 1); gray = bin ^ (bin &gt;&gt; 1).</x:v>
      </x:c>
      <x:c r="J412" s="17"/>
      <x:c r="K412" s="24"/>
      <x:c r="L412" s="17"/>
      <x:c r="M412" s="17"/>
      <x:c r="N412" s="4" t="str">
        <x:v>qa/q09_gray/gray_blocks.v</x:v>
      </x:c>
      <x:c r="O412" s="25" t="str">
        <x:v>https://github.com/kapiltrip/GoodQuestions/blob/a83e5a8a5d7262dd223ebbf4af2bf4c8434d9701/qa/q09_gray/gray_blocks.v</x:v>
      </x:c>
      <x:c r="P412" s="4" t="str">
        <x:f>IF(B412="Done",IF(OR(J412="",K412="",L412=""),"Add run evidence","Recorded"),IF(OR(B412="Blocked",B412="N/A"),IF(M412="","Add reason","Reason recorded"),""))</x:f>
      </x:c>
      <x:c r="Q412" s="4" t="str">
        <x:v>a83e5a8a5d7262dd223ebbf4af2bf4c8434d9701</x:v>
      </x:c>
    </x:row>
    <x:row r="413" ht="86" customHeight="1">
      <x:c r="A413" s="15" t="str">
        <x:v>GQ-076</x:v>
      </x:c>
      <x:c r="B413" s="19" t="str">
        <x:v>Pending</x:v>
      </x:c>
      <x:c r="C413" s="15" t="str">
        <x:v>P2</x:v>
      </x:c>
      <x:c r="D413" s="15" t="str">
        <x:v>GoodQuestions</x:v>
      </x:c>
      <x:c r="E413" s="15" t="str">
        <x:v>Practice draft</x:v>
      </x:c>
      <x:c r="F413" s="15" t="str">
        <x:v>Compile and compare draft contract</x:v>
      </x:c>
      <x:c r="G413" s="15" t="str">
        <x:v>a, b, sum, carry, cin, cout</x:v>
      </x:c>
      <x:c r="H413" s="15" t="str">
        <x:v>Compile this draft alone with an explicit top. Compare its interface and behavior with the active design in the same repository; record missing declarations and output drivers.</x:v>
      </x:c>
      <x:c r="I413" s="15" t="str">
        <x:v>The draft must elaborate and meet an agreed contract before it can share active-design results. Do not include unfinished drafts in a wildcard compile.</x:v>
      </x:c>
      <x:c r="J413" s="17"/>
      <x:c r="K413" s="24"/>
      <x:c r="L413" s="17"/>
      <x:c r="M413" s="17" t="str">
        <x:v>Draft results are separate from active RTL.</x:v>
      </x:c>
      <x:c r="N413" s="15" t="str">
        <x:v>study_plan/practice/video_04_gate_level_modeling_practice.v</x:v>
      </x:c>
      <x:c r="O413" s="26" t="str">
        <x:v>https://github.com/kapiltrip/GoodQuestions/blob/a83e5a8a5d7262dd223ebbf4af2bf4c8434d9701/study_plan/practice/video_04_gate_level_modeling_practice.v</x:v>
      </x:c>
      <x:c r="P413" s="15" t="str">
        <x:f>IF(B413="Done",IF(OR(J413="",K413="",L413=""),"Add run evidence","Recorded"),IF(OR(B413="Blocked",B413="N/A"),IF(M413="","Add reason","Reason recorded"),""))</x:f>
      </x:c>
      <x:c r="Q413" s="15" t="str">
        <x:v>a83e5a8a5d7262dd223ebbf4af2bf4c8434d9701</x:v>
      </x:c>
    </x:row>
    <x:row r="414" ht="86" customHeight="1">
      <x:c r="A414" s="4" t="str">
        <x:v>GQ-077</x:v>
      </x:c>
      <x:c r="B414" s="19" t="str">
        <x:v>Pending</x:v>
      </x:c>
      <x:c r="C414" s="4" t="str">
        <x:v>P2</x:v>
      </x:c>
      <x:c r="D414" s="4" t="str">
        <x:v>GoodQuestions</x:v>
      </x:c>
      <x:c r="E414" s="4" t="str">
        <x:v>Practice draft</x:v>
      </x:c>
      <x:c r="F414" s="4" t="str">
        <x:v>Compile and compare draft contract</x:v>
      </x:c>
      <x:c r="G414" s="4" t="str">
        <x:v>a, b, cin, sum, cout, diff, borrow, bin, bout</x:v>
      </x:c>
      <x:c r="H414" s="4" t="str">
        <x:v>Compile this draft alone with an explicit top. Compare its interface and behavior with the active design in the same repository; record missing declarations and output drivers.</x:v>
      </x:c>
      <x:c r="I414" s="4" t="str">
        <x:v>The draft must elaborate and meet an agreed contract before it can share active-design results. Do not include unfinished drafts in a wildcard compile.</x:v>
      </x:c>
      <x:c r="J414" s="17"/>
      <x:c r="K414" s="24"/>
      <x:c r="L414" s="17"/>
      <x:c r="M414" s="17" t="str">
        <x:v>Draft results are separate from active RTL.</x:v>
      </x:c>
      <x:c r="N414" s="4" t="str">
        <x:v>study_plan/practice/video_05_full_adder_using_half_adder_practice.v</x:v>
      </x:c>
      <x:c r="O414" s="25" t="str">
        <x:v>https://github.com/kapiltrip/GoodQuestions/blob/a83e5a8a5d7262dd223ebbf4af2bf4c8434d9701/study_plan/practice/video_05_full_adder_using_half_adder_practice.v</x:v>
      </x:c>
      <x:c r="P414" s="4" t="str">
        <x:f>IF(B414="Done",IF(OR(J414="",K414="",L414=""),"Add run evidence","Recorded"),IF(OR(B414="Blocked",B414="N/A"),IF(M414="","Add reason","Reason recorded"),""))</x:f>
      </x:c>
      <x:c r="Q414" s="4" t="str">
        <x:v>a83e5a8a5d7262dd223ebbf4af2bf4c8434d9701</x:v>
      </x:c>
    </x:row>
    <x:row r="415" ht="86" customHeight="1">
      <x:c r="A415" s="15" t="str">
        <x:v>GQ-078</x:v>
      </x:c>
      <x:c r="B415" s="19" t="str">
        <x:v>Pending</x:v>
      </x:c>
      <x:c r="C415" s="15" t="str">
        <x:v>P2</x:v>
      </x:c>
      <x:c r="D415" s="15" t="str">
        <x:v>GoodQuestions</x:v>
      </x:c>
      <x:c r="E415" s="15" t="str">
        <x:v>Practice draft</x:v>
      </x:c>
      <x:c r="F415" s="15" t="str">
        <x:v>Compile and compare draft contract</x:v>
      </x:c>
      <x:c r="G415" s="15" t="str">
        <x:v>a, b, cin, sum, cout</x:v>
      </x:c>
      <x:c r="H415" s="15" t="str">
        <x:v>Compile this draft alone with an explicit top. Compare its interface and behavior with the active design in the same repository; record missing declarations and output drivers.</x:v>
      </x:c>
      <x:c r="I415" s="15" t="str">
        <x:v>The draft must elaborate and meet an agreed contract before it can share active-design results. Do not include unfinished drafts in a wildcard compile.</x:v>
      </x:c>
      <x:c r="J415" s="17"/>
      <x:c r="K415" s="24"/>
      <x:c r="L415" s="17"/>
      <x:c r="M415" s="17" t="str">
        <x:v>Draft results are separate from active RTL.</x:v>
      </x:c>
      <x:c r="N415" s="15" t="str">
        <x:v>study_plan/practice/video_06_bcd_ripple_carry_adder_practice.v</x:v>
      </x:c>
      <x:c r="O415" s="26" t="str">
        <x:v>https://github.com/kapiltrip/GoodQuestions/blob/a83e5a8a5d7262dd223ebbf4af2bf4c8434d9701/study_plan/practice/video_06_bcd_ripple_carry_adder_practice.v</x:v>
      </x:c>
      <x:c r="P415" s="15" t="str">
        <x:f>IF(B415="Done",IF(OR(J415="",K415="",L415=""),"Add run evidence","Recorded"),IF(OR(B415="Blocked",B415="N/A"),IF(M415="","Add reason","Reason recorded"),""))</x:f>
      </x:c>
      <x:c r="Q415" s="15" t="str">
        <x:v>a83e5a8a5d7262dd223ebbf4af2bf4c8434d9701</x:v>
      </x:c>
    </x:row>
    <x:row r="416" ht="86" customHeight="1">
      <x:c r="A416" s="4" t="str">
        <x:v>MM-001</x:v>
      </x:c>
      <x:c r="B416" s="23" t="str">
        <x:v>Blocked</x:v>
      </x:c>
      <x:c r="C416" s="20" t="str">
        <x:v>P0</x:v>
      </x:c>
      <x:c r="D416" s="4" t="str">
        <x:v>MorrisManoDE</x:v>
      </x:c>
      <x:c r="E416" s="4" t="str">
        <x:v>Implementation prerequisite</x:v>
      </x:c>
      <x:c r="F416" s="4" t="str">
        <x:v>Define and implement code0.v</x:v>
      </x:c>
      <x:c r="G416" s="4" t="str">
        <x:v>No complete module interface</x:v>
      </x:c>
      <x:c r="H416" s="4" t="str">
        <x:v>Complete the existing module/interface and write the intended port-level contract before attempting functional vectors. This plan does not implement it.</x:v>
      </x:c>
      <x:c r="I416" s="4" t="str">
        <x:v>A named module elaborates with driven outputs and a defined function. Current source is empty or malformed, so functional pass criteria cannot be inferred safely.</x:v>
      </x:c>
      <x:c r="J416" s="17"/>
      <x:c r="K416" s="24"/>
      <x:c r="L416" s="17"/>
      <x:c r="M416" s="17" t="str">
        <x:v>Existing stub; not a passing design.</x:v>
      </x:c>
      <x:c r="N416" s="4" t="str">
        <x:v>code0.v</x:v>
      </x:c>
      <x:c r="O416" s="25" t="str">
        <x:v>https://github.com/kapiltrip/MorrisManoDE/blob/46c9045295755c84efdd9a8e2324004ff0b7d163/code0.v</x:v>
      </x:c>
      <x:c r="P416" s="4" t="str">
        <x:f>IF(B416="Done",IF(OR(J416="",K416="",L416=""),"Add run evidence","Recorded"),IF(OR(B416="Blocked",B416="N/A"),IF(M416="","Add reason","Reason recorded"),""))</x:f>
        <x:v>Reason recorded</x:v>
      </x:c>
      <x:c r="Q416" s="4" t="str">
        <x:v>46c9045295755c84efdd9a8e2324004ff0b7d163</x:v>
      </x:c>
    </x:row>
    <x:row r="417" ht="86" customHeight="1">
      <x:c r="A417" s="15" t="str">
        <x:v>HDL-001</x:v>
      </x:c>
      <x:c r="B417" s="23" t="str">
        <x:v>Blocked</x:v>
      </x:c>
      <x:c r="C417" s="21" t="str">
        <x:v>P0</x:v>
      </x:c>
      <x:c r="D417" s="15" t="str">
        <x:v>hdlBits</x:v>
      </x:c>
      <x:c r="E417" s="15" t="str">
        <x:v>Implementation prerequisite</x:v>
      </x:c>
      <x:c r="F417" s="15" t="str">
        <x:v>Define and implement top_module</x:v>
      </x:c>
      <x:c r="G417" s="15" t="str">
        <x:v>in, out</x:v>
      </x:c>
      <x:c r="H417" s="15" t="str">
        <x:v>Complete the existing module/interface and write the intended port-level contract before attempting functional vectors. This plan does not implement it.</x:v>
      </x:c>
      <x:c r="I417" s="15" t="str">
        <x:v>A named module elaborates with driven outputs and a defined function. Current source is empty or malformed, so functional pass criteria cannot be inferred safely.</x:v>
      </x:c>
      <x:c r="J417" s="17"/>
      <x:c r="K417" s="24"/>
      <x:c r="L417" s="17"/>
      <x:c r="M417" s="17" t="str">
        <x:v>Existing stub; not a passing design.</x:v>
      </x:c>
      <x:c r="N417" s="15" t="str">
        <x:v>HDLBits Attempt 1/study/solutions/Day 01/001-wire.sv</x:v>
      </x:c>
      <x:c r="O417" s="26" t="str">
        <x:v>https://github.com/kapiltrip/hdlBits/blob/fc3f2b993a1e202ef42a8e831c29f8f287f85e7a/HDLBits%20Attempt%201/study/solutions/Day%2001/001-wire.sv</x:v>
      </x:c>
      <x:c r="P417" s="15" t="str">
        <x:f>IF(B417="Done",IF(OR(J417="",K417="",L417=""),"Add run evidence","Recorded"),IF(OR(B417="Blocked",B417="N/A"),IF(M417="","Add reason","Reason recorded"),""))</x:f>
        <x:v>Reason recorded</x:v>
      </x:c>
      <x:c r="Q417" s="15" t="str">
        <x:v>fc3f2b993a1e202ef42a8e831c29f8f287f85e7a</x:v>
      </x:c>
    </x:row>
    <x:row r="418" ht="86" customHeight="1">
      <x:c r="A418" s="4" t="str">
        <x:v>HDL-002</x:v>
      </x:c>
      <x:c r="B418" s="23" t="str">
        <x:v>Blocked</x:v>
      </x:c>
      <x:c r="C418" s="20" t="str">
        <x:v>P0</x:v>
      </x:c>
      <x:c r="D418" s="4" t="str">
        <x:v>hdlBits</x:v>
      </x:c>
      <x:c r="E418" s="4" t="str">
        <x:v>Implementation prerequisite</x:v>
      </x:c>
      <x:c r="F418" s="4" t="str">
        <x:v>Define and implement top_module</x:v>
      </x:c>
      <x:c r="G418" s="4" t="str">
        <x:v>a, b, c, w, x, y, z</x:v>
      </x:c>
      <x:c r="H418" s="4" t="str">
        <x:v>Complete the existing module/interface and write the intended port-level contract before attempting functional vectors. This plan does not implement it.</x:v>
      </x:c>
      <x:c r="I418" s="4" t="str">
        <x:v>A named module elaborates with driven outputs and a defined function. Current source is empty or malformed, so functional pass criteria cannot be inferred safely.</x:v>
      </x:c>
      <x:c r="J418" s="17"/>
      <x:c r="K418" s="24"/>
      <x:c r="L418" s="17"/>
      <x:c r="M418" s="17" t="str">
        <x:v>Existing stub; not a passing design.</x:v>
      </x:c>
      <x:c r="N418" s="4" t="str">
        <x:v>HDLBits Attempt 1/study/solutions/Day 01/002-wire4.sv</x:v>
      </x:c>
      <x:c r="O418" s="25" t="str">
        <x:v>https://github.com/kapiltrip/hdlBits/blob/fc3f2b993a1e202ef42a8e831c29f8f287f85e7a/HDLBits%20Attempt%201/study/solutions/Day%2001/002-wire4.sv</x:v>
      </x:c>
      <x:c r="P418" s="4" t="str">
        <x:f>IF(B418="Done",IF(OR(J418="",K418="",L418=""),"Add run evidence","Recorded"),IF(OR(B418="Blocked",B418="N/A"),IF(M418="","Add reason","Reason recorded"),""))</x:f>
        <x:v>Reason recorded</x:v>
      </x:c>
      <x:c r="Q418" s="4" t="str">
        <x:v>fc3f2b993a1e202ef42a8e831c29f8f287f85e7a</x:v>
      </x:c>
    </x:row>
    <x:row r="419" ht="86" customHeight="1">
      <x:c r="A419" s="15" t="str">
        <x:v>HDL-003</x:v>
      </x:c>
      <x:c r="B419" s="19" t="str">
        <x:v>Pending</x:v>
      </x:c>
      <x:c r="C419" s="15" t="str">
        <x:v>P1</x:v>
      </x:c>
      <x:c r="D419" s="15" t="str">
        <x:v>hdlBits</x:v>
      </x:c>
      <x:c r="E419" s="15" t="str">
        <x:v>Combinational logic</x:v>
      </x:c>
      <x:c r="F419" s="15" t="str">
        <x:v>Input combinations and output mapping</x:v>
      </x:c>
      <x:c r="G419" s="15" t="str">
        <x:v>in, out</x:v>
      </x:c>
      <x:c r="H419" s="15" t="str">
        <x:v>Drive in through binary combinations when small; for vectors use zero, all ones, alternating bits and walking one/zero. Toggle one input at a time and include rapid changes after a previous nonzero result.</x:v>
      </x:c>
      <x:c r="I419" s="15" t="str">
        <x:v>Check out against an independently written truth table. Combinational results must settle without a clock or stale retained values.</x:v>
      </x:c>
      <x:c r="J419" s="17"/>
      <x:c r="K419" s="24"/>
      <x:c r="L419" s="17"/>
      <x:c r="M419" s="17" t="str">
        <x:v>Compile this exercise separately because many files declare top_module. Use the original exercise statement as an independent oracle; helper stubs establish elaboration only.</x:v>
      </x:c>
      <x:c r="N419" s="15" t="str">
        <x:v>HDLBits Attempt 1/study/solutions/Day 01/003-notgate.sv</x:v>
      </x:c>
      <x:c r="O419" s="26" t="str">
        <x:v>https://github.com/kapiltrip/hdlBits/blob/fc3f2b993a1e202ef42a8e831c29f8f287f85e7a/HDLBits%20Attempt%201/study/solutions/Day%2001/003-notgate.sv</x:v>
      </x:c>
      <x:c r="P419" s="15" t="str">
        <x:f>IF(B419="Done",IF(OR(J419="",K419="",L419=""),"Add run evidence","Recorded"),IF(OR(B419="Blocked",B419="N/A"),IF(M419="","Add reason","Reason recorded"),""))</x:f>
      </x:c>
      <x:c r="Q419" s="15" t="str">
        <x:v>fc3f2b993a1e202ef42a8e831c29f8f287f85e7a</x:v>
      </x:c>
    </x:row>
    <x:row r="420" ht="86" customHeight="1">
      <x:c r="A420" s="4" t="str">
        <x:v>HDL-004</x:v>
      </x:c>
      <x:c r="B420" s="23" t="str">
        <x:v>Blocked</x:v>
      </x:c>
      <x:c r="C420" s="20" t="str">
        <x:v>P0</x:v>
      </x:c>
      <x:c r="D420" s="4" t="str">
        <x:v>hdlBits</x:v>
      </x:c>
      <x:c r="E420" s="4" t="str">
        <x:v>Implementation prerequisite</x:v>
      </x:c>
      <x:c r="F420" s="4" t="str">
        <x:v>Define and implement top_module</x:v>
      </x:c>
      <x:c r="G420" s="4" t="str">
        <x:v>p1a, p1b, p1c, p1d, p1e, p1f, p2a, p2b, p2c, p2d, p1y, p2y</x:v>
      </x:c>
      <x:c r="H420" s="4" t="str">
        <x:v>Complete the existing module/interface and write the intended port-level contract before attempting functional vectors. This plan does not implement it.</x:v>
      </x:c>
      <x:c r="I420" s="4" t="str">
        <x:v>A named module elaborates with driven outputs and a defined function. Current source is empty or malformed, so functional pass criteria cannot be inferred safely.</x:v>
      </x:c>
      <x:c r="J420" s="17"/>
      <x:c r="K420" s="24"/>
      <x:c r="L420" s="17"/>
      <x:c r="M420" s="17" t="str">
        <x:v>Existing stub; not a passing design.</x:v>
      </x:c>
      <x:c r="N420" s="4" t="str">
        <x:v>HDLBits Attempt 1/study/solutions/Day 01/008-7458.sv</x:v>
      </x:c>
      <x:c r="O420" s="25" t="str">
        <x:v>https://github.com/kapiltrip/hdlBits/blob/fc3f2b993a1e202ef42a8e831c29f8f287f85e7a/HDLBits%20Attempt%201/study/solutions/Day%2001/008-7458.sv</x:v>
      </x:c>
      <x:c r="P420" s="4" t="str">
        <x:f>IF(B420="Done",IF(OR(J420="",K420="",L420=""),"Add run evidence","Recorded"),IF(OR(B420="Blocked",B420="N/A"),IF(M420="","Add reason","Reason recorded"),""))</x:f>
        <x:v>Reason recorded</x:v>
      </x:c>
      <x:c r="Q420" s="4" t="str">
        <x:v>fc3f2b993a1e202ef42a8e831c29f8f287f85e7a</x:v>
      </x:c>
    </x:row>
    <x:row r="421" ht="86" customHeight="1">
      <x:c r="A421" s="15" t="str">
        <x:v>HDL-005</x:v>
      </x:c>
      <x:c r="B421" s="19" t="str">
        <x:v>Pending</x:v>
      </x:c>
      <x:c r="C421" s="15" t="str">
        <x:v>P1</x:v>
      </x:c>
      <x:c r="D421" s="15" t="str">
        <x:v>hdlBits</x:v>
      </x:c>
      <x:c r="E421" s="15" t="str">
        <x:v>Combinational logic</x:v>
      </x:c>
      <x:c r="F421" s="15" t="str">
        <x:v>Input combinations and output mapping</x:v>
      </x:c>
      <x:c r="G421" s="15" t="str">
        <x:v>vec, outv, o2, o1, o0</x:v>
      </x:c>
      <x:c r="H421" s="15" t="str">
        <x:v>Drive vec through binary combinations when small; for vectors use zero, all ones, alternating bits and walking one/zero. Toggle one input at a time and include rapid changes after a previous nonzero result.</x:v>
      </x:c>
      <x:c r="I421" s="15" t="str">
        <x:v>Check outv, o2, o1, o0 against an independently written truth table. Combinational results must settle without a clock or stale retained values. Source mapping: outv = vec; o2 = vec[2]; o1 = vec[1]; o0 = vec[0].</x:v>
      </x:c>
      <x:c r="J421" s="17"/>
      <x:c r="K421" s="24"/>
      <x:c r="L421" s="17"/>
      <x:c r="M421" s="17" t="str">
        <x:v>Compile this exercise separately because many files declare top_module. Use the original exercise statement as an independent oracle; helper stubs establish elaboration only.</x:v>
      </x:c>
      <x:c r="N421" s="15" t="str">
        <x:v>HDLBits Attempt 1/study/solutions/Day 01/009-vector0.sv</x:v>
      </x:c>
      <x:c r="O421" s="26" t="str">
        <x:v>https://github.com/kapiltrip/hdlBits/blob/fc3f2b993a1e202ef42a8e831c29f8f287f85e7a/HDLBits%20Attempt%201/study/solutions/Day%2001/009-vector0.sv</x:v>
      </x:c>
      <x:c r="P421" s="15" t="str">
        <x:f>IF(B421="Done",IF(OR(J421="",K421="",L421=""),"Add run evidence","Recorded"),IF(OR(B421="Blocked",B421="N/A"),IF(M421="","Add reason","Reason recorded"),""))</x:f>
      </x:c>
      <x:c r="Q421" s="15" t="str">
        <x:v>fc3f2b993a1e202ef42a8e831c29f8f287f85e7a</x:v>
      </x:c>
    </x:row>
    <x:row r="422" ht="86" customHeight="1">
      <x:c r="A422" s="4" t="str">
        <x:v>HDL-006</x:v>
      </x:c>
      <x:c r="B422" s="19" t="str">
        <x:v>Pending</x:v>
      </x:c>
      <x:c r="C422" s="4" t="str">
        <x:v>P1</x:v>
      </x:c>
      <x:c r="D422" s="4" t="str">
        <x:v>hdlBits</x:v>
      </x:c>
      <x:c r="E422" s="4" t="str">
        <x:v>Combinational logic</x:v>
      </x:c>
      <x:c r="F422" s="4" t="str">
        <x:v>Input combinations and output mapping</x:v>
      </x:c>
      <x:c r="G422" s="4" t="str">
        <x:v>in, out_hi, out_lo</x:v>
      </x:c>
      <x:c r="H422" s="4" t="str">
        <x:v>Drive in through binary combinations when small; for vectors use zero, all ones, alternating bits and walking one/zero. Toggle one input at a time and include rapid changes after a previous nonzero result.</x:v>
      </x:c>
      <x:c r="I422" s="4" t="str">
        <x:v>Check out_hi, out_lo against an independently written truth table. Combinational results must settle without a clock or stale retained values. Source mapping: out_hi = in[15:8]; out_lo = in[7:0].</x:v>
      </x:c>
      <x:c r="J422" s="17"/>
      <x:c r="K422" s="24"/>
      <x:c r="L422" s="17"/>
      <x:c r="M422" s="17" t="str">
        <x:v>Compile this exercise separately because many files declare top_module. Use the original exercise statement as an independent oracle; helper stubs establish elaboration only.</x:v>
      </x:c>
      <x:c r="N422" s="4" t="str">
        <x:v>HDLBits Attempt 1/study/solutions/Day 01/010-vector1.sv</x:v>
      </x:c>
      <x:c r="O422" s="25" t="str">
        <x:v>https://github.com/kapiltrip/hdlBits/blob/fc3f2b993a1e202ef42a8e831c29f8f287f85e7a/HDLBits%20Attempt%201/study/solutions/Day%2001/010-vector1.sv</x:v>
      </x:c>
      <x:c r="P422" s="4" t="str">
        <x:f>IF(B422="Done",IF(OR(J422="",K422="",L422=""),"Add run evidence","Recorded"),IF(OR(B422="Blocked",B422="N/A"),IF(M422="","Add reason","Reason recorded"),""))</x:f>
      </x:c>
      <x:c r="Q422" s="4" t="str">
        <x:v>fc3f2b993a1e202ef42a8e831c29f8f287f85e7a</x:v>
      </x:c>
    </x:row>
    <x:row r="423" ht="86" customHeight="1">
      <x:c r="A423" s="15" t="str">
        <x:v>HDL-007</x:v>
      </x:c>
      <x:c r="B423" s="19" t="str">
        <x:v>Pending</x:v>
      </x:c>
      <x:c r="C423" s="15" t="str">
        <x:v>P1</x:v>
      </x:c>
      <x:c r="D423" s="15" t="str">
        <x:v>hdlBits</x:v>
      </x:c>
      <x:c r="E423" s="15" t="str">
        <x:v>Combinational logic</x:v>
      </x:c>
      <x:c r="F423" s="15" t="str">
        <x:v>Input combinations and output mapping</x:v>
      </x:c>
      <x:c r="G423" s="15" t="str">
        <x:v>in, out</x:v>
      </x:c>
      <x:c r="H423" s="15" t="str">
        <x:v>Drive in through binary combinations when small; for vectors use zero, all ones, alternating bits and walking one/zero. Toggle one input at a time and include rapid changes after a previous nonzero result.</x:v>
      </x:c>
      <x:c r="I423" s="15" t="str">
        <x:v>Check out against an independently written truth table. Combinational results must settle without a clock or stale retained values. Source mapping: out = {d,c,b,a}.</x:v>
      </x:c>
      <x:c r="J423" s="17"/>
      <x:c r="K423" s="24"/>
      <x:c r="L423" s="17"/>
      <x:c r="M423" s="17" t="str">
        <x:v>Compile this exercise separately because many files declare top_module. Use the original exercise statement as an independent oracle; helper stubs establish elaboration only.</x:v>
      </x:c>
      <x:c r="N423" s="15" t="str">
        <x:v>HDLBits Attempt 1/study/solutions/Day 01/011-vector2.sv</x:v>
      </x:c>
      <x:c r="O423" s="26" t="str">
        <x:v>https://github.com/kapiltrip/hdlBits/blob/fc3f2b993a1e202ef42a8e831c29f8f287f85e7a/HDLBits%20Attempt%201/study/solutions/Day%2001/011-vector2.sv</x:v>
      </x:c>
      <x:c r="P423" s="15" t="str">
        <x:f>IF(B423="Done",IF(OR(J423="",K423="",L423=""),"Add run evidence","Recorded"),IF(OR(B423="Blocked",B423="N/A"),IF(M423="","Add reason","Reason recorded"),""))</x:f>
      </x:c>
      <x:c r="Q423" s="15" t="str">
        <x:v>fc3f2b993a1e202ef42a8e831c29f8f287f85e7a</x:v>
      </x:c>
    </x:row>
    <x:row r="424" ht="86" customHeight="1">
      <x:c r="A424" s="4" t="str">
        <x:v>HDL-008</x:v>
      </x:c>
      <x:c r="B424" s="19" t="str">
        <x:v>Pending</x:v>
      </x:c>
      <x:c r="C424" s="4" t="str">
        <x:v>P1</x:v>
      </x:c>
      <x:c r="D424" s="4" t="str">
        <x:v>hdlBits</x:v>
      </x:c>
      <x:c r="E424" s="4" t="str">
        <x:v>Combinational logic</x:v>
      </x:c>
      <x:c r="F424" s="4" t="str">
        <x:v>Input combinations and output mapping</x:v>
      </x:c>
      <x:c r="G424" s="4" t="str">
        <x:v>a, b, out_or_bitwise, out_or_logical, out_not</x:v>
      </x:c>
      <x:c r="H424" s="4" t="str">
        <x:v>Drive a, b through binary combinations when small; for vectors use zero, all ones, alternating bits and walking one/zero. Toggle one input at a time and include rapid changes after a previous nonzero result.</x:v>
      </x:c>
      <x:c r="I424" s="4" t="str">
        <x:v>Check out_or_bitwise, out_or_logical, out_not against an independently written truth table. Combinational results must settle without a clock or stale retained values. Source mapping: out_or_bitwise = a |b; out_or_logical = a ||b; out_not = {~b,~a}.</x:v>
      </x:c>
      <x:c r="J424" s="17"/>
      <x:c r="K424" s="24"/>
      <x:c r="L424" s="17"/>
      <x:c r="M424" s="17" t="str">
        <x:v>Compile this exercise separately because many files declare top_module. Use the original exercise statement as an independent oracle; helper stubs establish elaboration only.</x:v>
      </x:c>
      <x:c r="N424" s="4" t="str">
        <x:v>HDLBits Attempt 1/study/solutions/Day 01/012-vectorgates.sv</x:v>
      </x:c>
      <x:c r="O424" s="25" t="str">
        <x:v>https://github.com/kapiltrip/hdlBits/blob/fc3f2b993a1e202ef42a8e831c29f8f287f85e7a/HDLBits%20Attempt%201/study/solutions/Day%2001/012-vectorgates.sv</x:v>
      </x:c>
      <x:c r="P424" s="4" t="str">
        <x:f>IF(B424="Done",IF(OR(J424="",K424="",L424=""),"Add run evidence","Recorded"),IF(OR(B424="Blocked",B424="N/A"),IF(M424="","Add reason","Reason recorded"),""))</x:f>
      </x:c>
      <x:c r="Q424" s="4" t="str">
        <x:v>fc3f2b993a1e202ef42a8e831c29f8f287f85e7a</x:v>
      </x:c>
    </x:row>
    <x:row r="425" ht="86" customHeight="1">
      <x:c r="A425" s="15" t="str">
        <x:v>HDL-009</x:v>
      </x:c>
      <x:c r="B425" s="19" t="str">
        <x:v>Pending</x:v>
      </x:c>
      <x:c r="C425" s="15" t="str">
        <x:v>P1</x:v>
      </x:c>
      <x:c r="D425" s="15" t="str">
        <x:v>hdlBits</x:v>
      </x:c>
      <x:c r="E425" s="15" t="str">
        <x:v>Combinational logic</x:v>
      </x:c>
      <x:c r="F425" s="15" t="str">
        <x:v>Input combinations and output mapping</x:v>
      </x:c>
      <x:c r="G425" s="15" t="str">
        <x:v>in, out_and, out_or, out_xor</x:v>
      </x:c>
      <x:c r="H425" s="15" t="str">
        <x:v>Drive in through binary combinations when small; for vectors use zero, all ones, alternating bits and walking one/zero. Toggle one input at a time and include rapid changes after a previous nonzero result.</x:v>
      </x:c>
      <x:c r="I425" s="15" t="str">
        <x:v>Check out_and, out_or, out_xor against an independently written truth table. Combinational results must settle without a clock or stale retained values. Source mapping: out_and = &amp;in; out_or = |in; out_xor = ^in.</x:v>
      </x:c>
      <x:c r="J425" s="17"/>
      <x:c r="K425" s="24"/>
      <x:c r="L425" s="17"/>
      <x:c r="M425" s="17" t="str">
        <x:v>Compile this exercise separately because many files declare top_module. Use the original exercise statement as an independent oracle; helper stubs establish elaboration only.</x:v>
      </x:c>
      <x:c r="N425" s="15" t="str">
        <x:v>HDLBits Attempt 1/study/solutions/Day 01/013-gates4.sv</x:v>
      </x:c>
      <x:c r="O425" s="26" t="str">
        <x:v>https://github.com/kapiltrip/hdlBits/blob/fc3f2b993a1e202ef42a8e831c29f8f287f85e7a/HDLBits%20Attempt%201/study/solutions/Day%2001/013-gates4.sv</x:v>
      </x:c>
      <x:c r="P425" s="15" t="str">
        <x:f>IF(B425="Done",IF(OR(J425="",K425="",L425=""),"Add run evidence","Recorded"),IF(OR(B425="Blocked",B425="N/A"),IF(M425="","Add reason","Reason recorded"),""))</x:f>
      </x:c>
      <x:c r="Q425" s="15" t="str">
        <x:v>fc3f2b993a1e202ef42a8e831c29f8f287f85e7a</x:v>
      </x:c>
    </x:row>
    <x:row r="426" ht="86" customHeight="1">
      <x:c r="A426" s="4" t="str">
        <x:v>HDL-010</x:v>
      </x:c>
      <x:c r="B426" s="23" t="str">
        <x:v>Blocked</x:v>
      </x:c>
      <x:c r="C426" s="20" t="str">
        <x:v>P0</x:v>
      </x:c>
      <x:c r="D426" s="4" t="str">
        <x:v>hdlBits</x:v>
      </x:c>
      <x:c r="E426" s="4" t="str">
        <x:v>Implementation prerequisite</x:v>
      </x:c>
      <x:c r="F426" s="4" t="str">
        <x:v>Define and implement top_module</x:v>
      </x:c>
      <x:c r="G426" s="4" t="str">
        <x:v>a, b, c, d, e, f, w, x, y, z</x:v>
      </x:c>
      <x:c r="H426" s="4" t="str">
        <x:v>Complete the existing module/interface and write the intended port-level contract before attempting functional vectors. This plan does not implement it.</x:v>
      </x:c>
      <x:c r="I426" s="4" t="str">
        <x:v>A named module elaborates with driven outputs and a defined function. Current source is empty or malformed, so functional pass criteria cannot be inferred safely.</x:v>
      </x:c>
      <x:c r="J426" s="17"/>
      <x:c r="K426" s="24"/>
      <x:c r="L426" s="17"/>
      <x:c r="M426" s="17" t="str">
        <x:v>Existing stub; not a passing design.</x:v>
      </x:c>
      <x:c r="N426" s="4" t="str">
        <x:v>HDLBits Attempt 1/study/solutions/Day 01/014-vector3.sv</x:v>
      </x:c>
      <x:c r="O426" s="25" t="str">
        <x:v>https://github.com/kapiltrip/hdlBits/blob/fc3f2b993a1e202ef42a8e831c29f8f287f85e7a/HDLBits%20Attempt%201/study/solutions/Day%2001/014-vector3.sv</x:v>
      </x:c>
      <x:c r="P426" s="4" t="str">
        <x:f>IF(B426="Done",IF(OR(J426="",K426="",L426=""),"Add run evidence","Recorded"),IF(OR(B426="Blocked",B426="N/A"),IF(M426="","Add reason","Reason recorded"),""))</x:f>
        <x:v>Reason recorded</x:v>
      </x:c>
      <x:c r="Q426" s="4" t="str">
        <x:v>fc3f2b993a1e202ef42a8e831c29f8f287f85e7a</x:v>
      </x:c>
    </x:row>
    <x:row r="427" ht="86" customHeight="1">
      <x:c r="A427" s="15" t="str">
        <x:v>HDL-011</x:v>
      </x:c>
      <x:c r="B427" s="19" t="str">
        <x:v>Pending</x:v>
      </x:c>
      <x:c r="C427" s="15" t="str">
        <x:v>P1</x:v>
      </x:c>
      <x:c r="D427" s="15" t="str">
        <x:v>hdlBits</x:v>
      </x:c>
      <x:c r="E427" s="15" t="str">
        <x:v>Combinational logic</x:v>
      </x:c>
      <x:c r="F427" s="15" t="str">
        <x:v>Input combinations and output mapping</x:v>
      </x:c>
      <x:c r="G427" s="15" t="str">
        <x:v>in, out</x:v>
      </x:c>
      <x:c r="H427" s="15" t="str">
        <x:v>Drive in through binary combinations when small; for vectors use zero, all ones, alternating bits and walking one/zero. Toggle one input at a time and include rapid changes after a previous nonzero result.</x:v>
      </x:c>
      <x:c r="I427" s="15" t="str">
        <x:v>Check out against an independently written truth table. Combinational results must settle without a clock or stale retained values. Source mapping: out[i] = in[7-i].</x:v>
      </x:c>
      <x:c r="J427" s="17"/>
      <x:c r="K427" s="24"/>
      <x:c r="L427" s="17"/>
      <x:c r="M427" s="17" t="str">
        <x:v>Compile this exercise separately because many files declare top_module. Use the original exercise statement as an independent oracle; helper stubs establish elaboration only.</x:v>
      </x:c>
      <x:c r="N427" s="15" t="str">
        <x:v>HDLBits Attempt 1/study/solutions/Day 01/015-vectorr.sv</x:v>
      </x:c>
      <x:c r="O427" s="26" t="str">
        <x:v>https://github.com/kapiltrip/hdlBits/blob/fc3f2b993a1e202ef42a8e831c29f8f287f85e7a/HDLBits%20Attempt%201/study/solutions/Day%2001/015-vectorr.sv</x:v>
      </x:c>
      <x:c r="P427" s="15" t="str">
        <x:f>IF(B427="Done",IF(OR(J427="",K427="",L427=""),"Add run evidence","Recorded"),IF(OR(B427="Blocked",B427="N/A"),IF(M427="","Add reason","Reason recorded"),""))</x:f>
      </x:c>
      <x:c r="Q427" s="15" t="str">
        <x:v>fc3f2b993a1e202ef42a8e831c29f8f287f85e7a</x:v>
      </x:c>
    </x:row>
    <x:row r="428" ht="86" customHeight="1">
      <x:c r="A428" s="4" t="str">
        <x:v>HDL-012</x:v>
      </x:c>
      <x:c r="B428" s="19" t="str">
        <x:v>Pending</x:v>
      </x:c>
      <x:c r="C428" s="4" t="str">
        <x:v>P1</x:v>
      </x:c>
      <x:c r="D428" s="4" t="str">
        <x:v>hdlBits</x:v>
      </x:c>
      <x:c r="E428" s="4" t="str">
        <x:v>Combinational logic</x:v>
      </x:c>
      <x:c r="F428" s="4" t="str">
        <x:v>Input combinations and output mapping</x:v>
      </x:c>
      <x:c r="G428" s="4" t="str">
        <x:v>in, out</x:v>
      </x:c>
      <x:c r="H428" s="4" t="str">
        <x:v>Drive in through binary combinations when small; for vectors use zero, all ones, alternating bits and walking one/zero. Toggle one input at a time and include rapid changes after a previous nonzero result.</x:v>
      </x:c>
      <x:c r="I428" s="4" t="str">
        <x:v>Check out against an independently written truth table. Combinational results must settle without a clock or stale retained values. Source mapping: out = {{24{in[7]}},in}.</x:v>
      </x:c>
      <x:c r="J428" s="17"/>
      <x:c r="K428" s="24"/>
      <x:c r="L428" s="17"/>
      <x:c r="M428" s="17" t="str">
        <x:v>Compile this exercise separately because many files declare top_module. Use the original exercise statement as an independent oracle; helper stubs establish elaboration only.</x:v>
      </x:c>
      <x:c r="N428" s="4" t="str">
        <x:v>HDLBits Attempt 1/study/solutions/Day 01/016-vector4.sv</x:v>
      </x:c>
      <x:c r="O428" s="25" t="str">
        <x:v>https://github.com/kapiltrip/hdlBits/blob/fc3f2b993a1e202ef42a8e831c29f8f287f85e7a/HDLBits%20Attempt%201/study/solutions/Day%2001/016-vector4.sv</x:v>
      </x:c>
      <x:c r="P428" s="4" t="str">
        <x:f>IF(B428="Done",IF(OR(J428="",K428="",L428=""),"Add run evidence","Recorded"),IF(OR(B428="Blocked",B428="N/A"),IF(M428="","Add reason","Reason recorded"),""))</x:f>
      </x:c>
      <x:c r="Q428" s="4" t="str">
        <x:v>fc3f2b993a1e202ef42a8e831c29f8f287f85e7a</x:v>
      </x:c>
    </x:row>
    <x:row r="429" ht="86" customHeight="1">
      <x:c r="A429" s="15" t="str">
        <x:v>HDL-013</x:v>
      </x:c>
      <x:c r="B429" s="19" t="str">
        <x:v>Pending</x:v>
      </x:c>
      <x:c r="C429" s="15" t="str">
        <x:v>P1</x:v>
      </x:c>
      <x:c r="D429" s="15" t="str">
        <x:v>hdlBits</x:v>
      </x:c>
      <x:c r="E429" s="15" t="str">
        <x:v>Combinational logic</x:v>
      </x:c>
      <x:c r="F429" s="15" t="str">
        <x:v>Input combinations and output mapping</x:v>
      </x:c>
      <x:c r="G429" s="15" t="str">
        <x:v>a, b, out</x:v>
      </x:c>
      <x:c r="H429" s="15" t="str">
        <x:v>Drive a, b through binary combinations when small; for vectors use zero, all ones, alternating bits and walking one/zero. Toggle one input at a time and include rapid changes after a previous nonzero result.</x:v>
      </x:c>
      <x:c r="I429" s="15" t="str">
        <x:v>Check out against an independently written truth table. Combinational results must settle without a clock or stale retained values.</x:v>
      </x:c>
      <x:c r="J429" s="17"/>
      <x:c r="K429" s="24"/>
      <x:c r="L429" s="17"/>
      <x:c r="M429" s="17" t="str">
        <x:v>Compile this exercise separately because many files declare top_module. Use the original exercise statement as an independent oracle; helper stubs establish elaboration only.</x:v>
      </x:c>
      <x:c r="N429" s="15" t="str">
        <x:v>HDLBits Attempt 1/study/solutions/Day 02/004-andgate.sv</x:v>
      </x:c>
      <x:c r="O429" s="26" t="str">
        <x:v>https://github.com/kapiltrip/hdlBits/blob/fc3f2b993a1e202ef42a8e831c29f8f287f85e7a/HDLBits%20Attempt%201/study/solutions/Day%2002/004-andgate.sv</x:v>
      </x:c>
      <x:c r="P429" s="15" t="str">
        <x:f>IF(B429="Done",IF(OR(J429="",K429="",L429=""),"Add run evidence","Recorded"),IF(OR(B429="Blocked",B429="N/A"),IF(M429="","Add reason","Reason recorded"),""))</x:f>
      </x:c>
      <x:c r="Q429" s="15" t="str">
        <x:v>fc3f2b993a1e202ef42a8e831c29f8f287f85e7a</x:v>
      </x:c>
    </x:row>
    <x:row r="430" ht="86" customHeight="1">
      <x:c r="A430" s="4" t="str">
        <x:v>HDL-014</x:v>
      </x:c>
      <x:c r="B430" s="23" t="str">
        <x:v>Blocked</x:v>
      </x:c>
      <x:c r="C430" s="20" t="str">
        <x:v>P0</x:v>
      </x:c>
      <x:c r="D430" s="4" t="str">
        <x:v>hdlBits</x:v>
      </x:c>
      <x:c r="E430" s="4" t="str">
        <x:v>Implementation prerequisite</x:v>
      </x:c>
      <x:c r="F430" s="4" t="str">
        <x:v>Define and implement top_module</x:v>
      </x:c>
      <x:c r="G430" s="4" t="str">
        <x:v>a, b, out</x:v>
      </x:c>
      <x:c r="H430" s="4" t="str">
        <x:v>Complete the existing module/interface and write the intended port-level contract before attempting functional vectors. This plan does not implement it.</x:v>
      </x:c>
      <x:c r="I430" s="4" t="str">
        <x:v>A named module elaborates with driven outputs and a defined function. Current source is empty or malformed, so functional pass criteria cannot be inferred safely.</x:v>
      </x:c>
      <x:c r="J430" s="17"/>
      <x:c r="K430" s="24"/>
      <x:c r="L430" s="17"/>
      <x:c r="M430" s="17" t="str">
        <x:v>Existing stub; not a passing design.</x:v>
      </x:c>
      <x:c r="N430" s="4" t="str">
        <x:v>HDLBits Attempt 1/study/solutions/Day 02/005-norgate.sv</x:v>
      </x:c>
      <x:c r="O430" s="25" t="str">
        <x:v>https://github.com/kapiltrip/hdlBits/blob/fc3f2b993a1e202ef42a8e831c29f8f287f85e7a/HDLBits%20Attempt%201/study/solutions/Day%2002/005-norgate.sv</x:v>
      </x:c>
      <x:c r="P430" s="4" t="str">
        <x:f>IF(B430="Done",IF(OR(J430="",K430="",L430=""),"Add run evidence","Recorded"),IF(OR(B430="Blocked",B430="N/A"),IF(M430="","Add reason","Reason recorded"),""))</x:f>
        <x:v>Reason recorded</x:v>
      </x:c>
      <x:c r="Q430" s="4" t="str">
        <x:v>fc3f2b993a1e202ef42a8e831c29f8f287f85e7a</x:v>
      </x:c>
    </x:row>
    <x:row r="431" ht="86" customHeight="1">
      <x:c r="A431" s="15" t="str">
        <x:v>HDL-015</x:v>
      </x:c>
      <x:c r="B431" s="19" t="str">
        <x:v>Pending</x:v>
      </x:c>
      <x:c r="C431" s="15" t="str">
        <x:v>P1</x:v>
      </x:c>
      <x:c r="D431" s="15" t="str">
        <x:v>hdlBits</x:v>
      </x:c>
      <x:c r="E431" s="15" t="str">
        <x:v>Combinational logic</x:v>
      </x:c>
      <x:c r="F431" s="15" t="str">
        <x:v>Input combinations and output mapping</x:v>
      </x:c>
      <x:c r="G431" s="15" t="str">
        <x:v>a, b, out</x:v>
      </x:c>
      <x:c r="H431" s="15" t="str">
        <x:v>Drive a, b through binary combinations when small; for vectors use zero, all ones, alternating bits and walking one/zero. Toggle one input at a time and include rapid changes after a previous nonzero result.</x:v>
      </x:c>
      <x:c r="I431" s="15" t="str">
        <x:v>Check out against an independently written truth table. Combinational results must settle without a clock or stale retained values. Source mapping: out = ~(a ^b).</x:v>
      </x:c>
      <x:c r="J431" s="17"/>
      <x:c r="K431" s="24"/>
      <x:c r="L431" s="17"/>
      <x:c r="M431" s="17" t="str">
        <x:v>Compile this exercise separately because many files declare top_module. Use the original exercise statement as an independent oracle; helper stubs establish elaboration only.</x:v>
      </x:c>
      <x:c r="N431" s="15" t="str">
        <x:v>HDLBits Attempt 1/study/solutions/Day 02/006-xnorgate.sv</x:v>
      </x:c>
      <x:c r="O431" s="26" t="str">
        <x:v>https://github.com/kapiltrip/hdlBits/blob/fc3f2b993a1e202ef42a8e831c29f8f287f85e7a/HDLBits%20Attempt%201/study/solutions/Day%2002/006-xnorgate.sv</x:v>
      </x:c>
      <x:c r="P431" s="15" t="str">
        <x:f>IF(B431="Done",IF(OR(J431="",K431="",L431=""),"Add run evidence","Recorded"),IF(OR(B431="Blocked",B431="N/A"),IF(M431="","Add reason","Reason recorded"),""))</x:f>
      </x:c>
      <x:c r="Q431" s="15" t="str">
        <x:v>fc3f2b993a1e202ef42a8e831c29f8f287f85e7a</x:v>
      </x:c>
    </x:row>
    <x:row r="432" ht="86" customHeight="1">
      <x:c r="A432" s="4" t="str">
        <x:v>HDL-016</x:v>
      </x:c>
      <x:c r="B432" s="23" t="str">
        <x:v>Blocked</x:v>
      </x:c>
      <x:c r="C432" s="20" t="str">
        <x:v>P0</x:v>
      </x:c>
      <x:c r="D432" s="4" t="str">
        <x:v>hdlBits</x:v>
      </x:c>
      <x:c r="E432" s="4" t="str">
        <x:v>Implementation prerequisite</x:v>
      </x:c>
      <x:c r="F432" s="4" t="str">
        <x:v>Define and implement top_module</x:v>
      </x:c>
      <x:c r="G432" s="4" t="str">
        <x:v>a, b, c, d, out, out_n</x:v>
      </x:c>
      <x:c r="H432" s="4" t="str">
        <x:v>Complete the existing module/interface and write the intended port-level contract before attempting functional vectors. This plan does not implement it.</x:v>
      </x:c>
      <x:c r="I432" s="4" t="str">
        <x:v>A named module elaborates with driven outputs and a defined function. Current source is empty or malformed, so functional pass criteria cannot be inferred safely.</x:v>
      </x:c>
      <x:c r="J432" s="17"/>
      <x:c r="K432" s="24"/>
      <x:c r="L432" s="17"/>
      <x:c r="M432" s="17" t="str">
        <x:v>Existing stub; not a passing design.</x:v>
      </x:c>
      <x:c r="N432" s="4" t="str">
        <x:v>HDLBits Attempt 1/study/solutions/Day 02/007-wire_decl.sv</x:v>
      </x:c>
      <x:c r="O432" s="25" t="str">
        <x:v>https://github.com/kapiltrip/hdlBits/blob/fc3f2b993a1e202ef42a8e831c29f8f287f85e7a/HDLBits%20Attempt%201/study/solutions/Day%2002/007-wire_decl.sv</x:v>
      </x:c>
      <x:c r="P432" s="4" t="str">
        <x:f>IF(B432="Done",IF(OR(J432="",K432="",L432=""),"Add run evidence","Recorded"),IF(OR(B432="Blocked",B432="N/A"),IF(M432="","Add reason","Reason recorded"),""))</x:f>
        <x:v>Reason recorded</x:v>
      </x:c>
      <x:c r="Q432" s="4" t="str">
        <x:v>fc3f2b993a1e202ef42a8e831c29f8f287f85e7a</x:v>
      </x:c>
    </x:row>
    <x:row r="433" ht="86" customHeight="1">
      <x:c r="A433" s="15" t="str">
        <x:v>HDL-017</x:v>
      </x:c>
      <x:c r="B433" s="19" t="str">
        <x:v>Pending</x:v>
      </x:c>
      <x:c r="C433" s="15" t="str">
        <x:v>P1</x:v>
      </x:c>
      <x:c r="D433" s="15" t="str">
        <x:v>hdlBits</x:v>
      </x:c>
      <x:c r="E433" s="15" t="str">
        <x:v>Combinational logic</x:v>
      </x:c>
      <x:c r="F433" s="15" t="str">
        <x:v>Input combinations and output mapping</x:v>
      </x:c>
      <x:c r="G433" s="15" t="str">
        <x:v>a, b, c, d, e, out</x:v>
      </x:c>
      <x:c r="H433" s="15" t="str">
        <x:v>Drive a, b, c, d, e through binary combinations when small; for vectors use zero, all ones, alternating bits and walking one/zero. Toggle one input at a time and include rapid changes after a previous nonzero result.</x:v>
      </x:c>
      <x:c r="I433" s="15" t="str">
        <x:v>Check out against an independently written truth table. Combinational results must settle without a clock or stale retained values. Source mapping: out = ~(top ^ bottom).</x:v>
      </x:c>
      <x:c r="J433" s="17"/>
      <x:c r="K433" s="24"/>
      <x:c r="L433" s="17"/>
      <x:c r="M433" s="17" t="str">
        <x:v>Compile this exercise separately because many files declare top_module. Use the original exercise statement as an independent oracle; helper stubs establish elaboration only.</x:v>
      </x:c>
      <x:c r="N433" s="15" t="str">
        <x:v>HDLBits Attempt 1/study/solutions/Day 02/017-vector5.sv</x:v>
      </x:c>
      <x:c r="O433" s="26" t="str">
        <x:v>https://github.com/kapiltrip/hdlBits/blob/fc3f2b993a1e202ef42a8e831c29f8f287f85e7a/HDLBits%20Attempt%201/study/solutions/Day%2002/017-vector5.sv</x:v>
      </x:c>
      <x:c r="P433" s="15" t="str">
        <x:f>IF(B433="Done",IF(OR(J433="",K433="",L433=""),"Add run evidence","Recorded"),IF(OR(B433="Blocked",B433="N/A"),IF(M433="","Add reason","Reason recorded"),""))</x:f>
      </x:c>
      <x:c r="Q433" s="15" t="str">
        <x:v>fc3f2b993a1e202ef42a8e831c29f8f287f85e7a</x:v>
      </x:c>
    </x:row>
    <x:row r="434" ht="86" customHeight="1">
      <x:c r="A434" s="4" t="str">
        <x:v>HDL-018</x:v>
      </x:c>
      <x:c r="B434" s="23" t="str">
        <x:v>Blocked</x:v>
      </x:c>
      <x:c r="C434" s="20" t="str">
        <x:v>P0</x:v>
      </x:c>
      <x:c r="D434" s="4" t="str">
        <x:v>hdlBits</x:v>
      </x:c>
      <x:c r="E434" s="4" t="str">
        <x:v>Implementation prerequisite</x:v>
      </x:c>
      <x:c r="F434" s="4" t="str">
        <x:v>Define and implement top_module</x:v>
      </x:c>
      <x:c r="G434" s="4" t="str">
        <x:v>a, b, out</x:v>
      </x:c>
      <x:c r="H434" s="4" t="str">
        <x:v>Complete the existing module/interface and write the intended port-level contract before attempting functional vectors. This plan does not implement it.</x:v>
      </x:c>
      <x:c r="I434" s="4" t="str">
        <x:v>A named module elaborates with driven outputs and a defined function. Current source is empty or malformed, so functional pass criteria cannot be inferred safely.</x:v>
      </x:c>
      <x:c r="J434" s="17"/>
      <x:c r="K434" s="24"/>
      <x:c r="L434" s="17"/>
      <x:c r="M434" s="17" t="str">
        <x:v>Existing stub; not a passing design.</x:v>
      </x:c>
      <x:c r="N434" s="4" t="str">
        <x:v>HDLBits Attempt 1/study/solutions/Day 02/018-module.sv</x:v>
      </x:c>
      <x:c r="O434" s="25" t="str">
        <x:v>https://github.com/kapiltrip/hdlBits/blob/fc3f2b993a1e202ef42a8e831c29f8f287f85e7a/HDLBits%20Attempt%201/study/solutions/Day%2002/018-module.sv</x:v>
      </x:c>
      <x:c r="P434" s="4" t="str">
        <x:f>IF(B434="Done",IF(OR(J434="",K434="",L434=""),"Add run evidence","Recorded"),IF(OR(B434="Blocked",B434="N/A"),IF(M434="","Add reason","Reason recorded"),""))</x:f>
        <x:v>Reason recorded</x:v>
      </x:c>
      <x:c r="Q434" s="4" t="str">
        <x:v>fc3f2b993a1e202ef42a8e831c29f8f287f85e7a</x:v>
      </x:c>
    </x:row>
    <x:row r="435" ht="86" customHeight="1">
      <x:c r="A435" s="15" t="str">
        <x:v>HDL-019</x:v>
      </x:c>
      <x:c r="B435" s="19" t="str">
        <x:v>Pending</x:v>
      </x:c>
      <x:c r="C435" s="15" t="str">
        <x:v>P1</x:v>
      </x:c>
      <x:c r="D435" s="15" t="str">
        <x:v>hdlBits</x:v>
      </x:c>
      <x:c r="E435" s="15" t="str">
        <x:v>Combinational logic</x:v>
      </x:c>
      <x:c r="F435" s="15" t="str">
        <x:v>Input combinations and output mapping</x:v>
      </x:c>
      <x:c r="G435" s="15" t="str">
        <x:v>a, b, c, d, out1, out2</x:v>
      </x:c>
      <x:c r="H435" s="15" t="str">
        <x:v>Drive a, b, c, d through binary combinations when small; for vectors use zero, all ones, alternating bits and walking one/zero. Toggle one input at a time and include rapid changes after a previous nonzero result.</x:v>
      </x:c>
      <x:c r="I435" s="15" t="str">
        <x:v>Check out1, out2 against an independently written truth table. Combinational results must settle without a clock or stale retained values.</x:v>
      </x:c>
      <x:c r="J435" s="17"/>
      <x:c r="K435" s="24"/>
      <x:c r="L435" s="17"/>
      <x:c r="M435" s="17" t="str">
        <x:v>Compile this exercise separately because many files declare top_module. Use the original exercise statement as an independent oracle; helper stubs establish elaboration only.</x:v>
      </x:c>
      <x:c r="N435" s="15" t="str">
        <x:v>HDLBits Attempt 1/study/solutions/Day 02/019-module_pos.sv</x:v>
      </x:c>
      <x:c r="O435" s="26" t="str">
        <x:v>https://github.com/kapiltrip/hdlBits/blob/fc3f2b993a1e202ef42a8e831c29f8f287f85e7a/HDLBits%20Attempt%201/study/solutions/Day%2002/019-module_pos.sv</x:v>
      </x:c>
      <x:c r="P435" s="15" t="str">
        <x:f>IF(B435="Done",IF(OR(J435="",K435="",L435=""),"Add run evidence","Recorded"),IF(OR(B435="Blocked",B435="N/A"),IF(M435="","Add reason","Reason recorded"),""))</x:f>
      </x:c>
      <x:c r="Q435" s="15" t="str">
        <x:v>fc3f2b993a1e202ef42a8e831c29f8f287f85e7a</x:v>
      </x:c>
    </x:row>
    <x:row r="436" ht="86" customHeight="1">
      <x:c r="A436" s="4" t="str">
        <x:v>HDL-020</x:v>
      </x:c>
      <x:c r="B436" s="23" t="str">
        <x:v>Blocked</x:v>
      </x:c>
      <x:c r="C436" s="20" t="str">
        <x:v>P0</x:v>
      </x:c>
      <x:c r="D436" s="4" t="str">
        <x:v>hdlBits</x:v>
      </x:c>
      <x:c r="E436" s="4" t="str">
        <x:v>Implementation prerequisite</x:v>
      </x:c>
      <x:c r="F436" s="4" t="str">
        <x:v>Define and implement top_module</x:v>
      </x:c>
      <x:c r="G436" s="4" t="str">
        <x:v>a, b, c, d, out1, out2</x:v>
      </x:c>
      <x:c r="H436" s="4" t="str">
        <x:v>Complete the existing module/interface and write the intended port-level contract before attempting functional vectors. This plan does not implement it.</x:v>
      </x:c>
      <x:c r="I436" s="4" t="str">
        <x:v>A named module elaborates with driven outputs and a defined function. Current source is empty or malformed, so functional pass criteria cannot be inferred safely.</x:v>
      </x:c>
      <x:c r="J436" s="17"/>
      <x:c r="K436" s="24"/>
      <x:c r="L436" s="17"/>
      <x:c r="M436" s="17" t="str">
        <x:v>Existing stub; not a passing design.</x:v>
      </x:c>
      <x:c r="N436" s="4" t="str">
        <x:v>HDLBits Attempt 1/study/solutions/Day 02/020-module_name.sv</x:v>
      </x:c>
      <x:c r="O436" s="25" t="str">
        <x:v>https://github.com/kapiltrip/hdlBits/blob/fc3f2b993a1e202ef42a8e831c29f8f287f85e7a/HDLBits%20Attempt%201/study/solutions/Day%2002/020-module_name.sv</x:v>
      </x:c>
      <x:c r="P436" s="4" t="str">
        <x:f>IF(B436="Done",IF(OR(J436="",K436="",L436=""),"Add run evidence","Recorded"),IF(OR(B436="Blocked",B436="N/A"),IF(M436="","Add reason","Reason recorded"),""))</x:f>
        <x:v>Reason recorded</x:v>
      </x:c>
      <x:c r="Q436" s="4" t="str">
        <x:v>fc3f2b993a1e202ef42a8e831c29f8f287f85e7a</x:v>
      </x:c>
    </x:row>
    <x:row r="437" ht="86" customHeight="1">
      <x:c r="A437" s="15" t="str">
        <x:v>HDL-021</x:v>
      </x:c>
      <x:c r="B437" s="19" t="str">
        <x:v>Pending</x:v>
      </x:c>
      <x:c r="C437" s="15" t="str">
        <x:v>P1</x:v>
      </x:c>
      <x:c r="D437" s="15" t="str">
        <x:v>hdlBits</x:v>
      </x:c>
      <x:c r="E437" s="15" t="str">
        <x:v>Shift/rotate</x:v>
      </x:c>
      <x:c r="F437" s="15" t="str">
        <x:v>Direction, load and boundary bits</x:v>
      </x:c>
      <x:c r="G437" s="15" t="str">
        <x:v>clk, d, q</x:v>
      </x:c>
      <x:c r="H437" s="15" t="str">
        <x:v>Drive clk, d with walking-one patterns at both ends; exercise every shift amount/direction and simultaneous load/enable controls.</x:v>
      </x:c>
      <x:c r="I437" s="15" t="str">
        <x:v>q preserves the defined bit order and delay. Check zero-fill, sign-fill or rotation separately as specified by this source; load/hold priority and bits shifted out must match the contract.</x:v>
      </x:c>
      <x:c r="J437" s="17"/>
      <x:c r="K437" s="24"/>
      <x:c r="L437" s="17"/>
      <x:c r="M437" s="17" t="str">
        <x:v>Compile this exercise separately because many files declare top_module. Use the original exercise statement as an independent oracle; helper stubs establish elaboration only.</x:v>
      </x:c>
      <x:c r="N437" s="15" t="str">
        <x:v>HDLBits Attempt 1/study/solutions/Day 02/021-module_shift.sv</x:v>
      </x:c>
      <x:c r="O437" s="26" t="str">
        <x:v>https://github.com/kapiltrip/hdlBits/blob/fc3f2b993a1e202ef42a8e831c29f8f287f85e7a/HDLBits%20Attempt%201/study/solutions/Day%2002/021-module_shift.sv</x:v>
      </x:c>
      <x:c r="P437" s="15" t="str">
        <x:f>IF(B437="Done",IF(OR(J437="",K437="",L437=""),"Add run evidence","Recorded"),IF(OR(B437="Blocked",B437="N/A"),IF(M437="","Add reason","Reason recorded"),""))</x:f>
      </x:c>
      <x:c r="Q437" s="15" t="str">
        <x:v>fc3f2b993a1e202ef42a8e831c29f8f287f85e7a</x:v>
      </x:c>
    </x:row>
    <x:row r="438" ht="86" customHeight="1">
      <x:c r="A438" s="4" t="str">
        <x:v>HDL-022</x:v>
      </x:c>
      <x:c r="B438" s="23" t="str">
        <x:v>Blocked</x:v>
      </x:c>
      <x:c r="C438" s="20" t="str">
        <x:v>P0</x:v>
      </x:c>
      <x:c r="D438" s="4" t="str">
        <x:v>hdlBits</x:v>
      </x:c>
      <x:c r="E438" s="4" t="str">
        <x:v>Implementation prerequisite</x:v>
      </x:c>
      <x:c r="F438" s="4" t="str">
        <x:v>Define and implement top_module</x:v>
      </x:c>
      <x:c r="G438" s="4" t="str">
        <x:v>clk, d, sel, q</x:v>
      </x:c>
      <x:c r="H438" s="4" t="str">
        <x:v>Complete the existing module/interface and write the intended port-level contract before attempting functional vectors. This plan does not implement it.</x:v>
      </x:c>
      <x:c r="I438" s="4" t="str">
        <x:v>A named module elaborates with driven outputs and a defined function. Current source is empty or malformed, so functional pass criteria cannot be inferred safely.</x:v>
      </x:c>
      <x:c r="J438" s="17"/>
      <x:c r="K438" s="24"/>
      <x:c r="L438" s="17"/>
      <x:c r="M438" s="17" t="str">
        <x:v>Existing stub; not a passing design.</x:v>
      </x:c>
      <x:c r="N438" s="4" t="str">
        <x:v>HDLBits Attempt 1/study/solutions/Day 02/022-module_shift8.sv</x:v>
      </x:c>
      <x:c r="O438" s="25" t="str">
        <x:v>https://github.com/kapiltrip/hdlBits/blob/fc3f2b993a1e202ef42a8e831c29f8f287f85e7a/HDLBits%20Attempt%201/study/solutions/Day%2002/022-module_shift8.sv</x:v>
      </x:c>
      <x:c r="P438" s="4" t="str">
        <x:f>IF(B438="Done",IF(OR(J438="",K438="",L438=""),"Add run evidence","Recorded"),IF(OR(B438="Blocked",B438="N/A"),IF(M438="","Add reason","Reason recorded"),""))</x:f>
        <x:v>Reason recorded</x:v>
      </x:c>
      <x:c r="Q438" s="4" t="str">
        <x:v>fc3f2b993a1e202ef42a8e831c29f8f287f85e7a</x:v>
      </x:c>
    </x:row>
    <x:row r="439" ht="86" customHeight="1">
      <x:c r="A439" s="15" t="str">
        <x:v>HDL-023</x:v>
      </x:c>
      <x:c r="B439" s="19" t="str">
        <x:v>Pending</x:v>
      </x:c>
      <x:c r="C439" s="15" t="str">
        <x:v>P1</x:v>
      </x:c>
      <x:c r="D439" s="15" t="str">
        <x:v>hdlBits</x:v>
      </x:c>
      <x:c r="E439" s="15" t="str">
        <x:v>Combinational logic</x:v>
      </x:c>
      <x:c r="F439" s="15" t="str">
        <x:v>Input combinations and output mapping</x:v>
      </x:c>
      <x:c r="G439" s="15" t="str">
        <x:v>a, b, sum</x:v>
      </x:c>
      <x:c r="H439" s="15" t="str">
        <x:v>Drive a, b through binary combinations when small; for vectors use zero, all ones, alternating bits and walking one/zero. Toggle one input at a time and include rapid changes after a previous nonzero result.</x:v>
      </x:c>
      <x:c r="I439" s="15" t="str">
        <x:v>Check sum against an independently written truth table. Combinational results must settle without a clock or stale retained values. Source mapping: sum = {sum2,sum1}.</x:v>
      </x:c>
      <x:c r="J439" s="17"/>
      <x:c r="K439" s="24"/>
      <x:c r="L439" s="17"/>
      <x:c r="M439" s="17" t="str">
        <x:v>Compile this exercise separately because many files declare top_module. Use the original exercise statement as an independent oracle; helper stubs establish elaboration only.</x:v>
      </x:c>
      <x:c r="N439" s="15" t="str">
        <x:v>HDLBits Attempt 1/study/solutions/Day 02/023-module_add.sv</x:v>
      </x:c>
      <x:c r="O439" s="26" t="str">
        <x:v>https://github.com/kapiltrip/hdlBits/blob/fc3f2b993a1e202ef42a8e831c29f8f287f85e7a/HDLBits%20Attempt%201/study/solutions/Day%2002/023-module_add.sv</x:v>
      </x:c>
      <x:c r="P439" s="15" t="str">
        <x:f>IF(B439="Done",IF(OR(J439="",K439="",L439=""),"Add run evidence","Recorded"),IF(OR(B439="Blocked",B439="N/A"),IF(M439="","Add reason","Reason recorded"),""))</x:f>
      </x:c>
      <x:c r="Q439" s="15" t="str">
        <x:v>fc3f2b993a1e202ef42a8e831c29f8f287f85e7a</x:v>
      </x:c>
    </x:row>
    <x:row r="440" ht="86" customHeight="1">
      <x:c r="A440" s="4" t="str">
        <x:v>HDL-024</x:v>
      </x:c>
      <x:c r="B440" s="23" t="str">
        <x:v>Blocked</x:v>
      </x:c>
      <x:c r="C440" s="20" t="str">
        <x:v>P0</x:v>
      </x:c>
      <x:c r="D440" s="4" t="str">
        <x:v>hdlBits</x:v>
      </x:c>
      <x:c r="E440" s="4" t="str">
        <x:v>Implementation prerequisite</x:v>
      </x:c>
      <x:c r="F440" s="4" t="str">
        <x:v>Define and implement top_module, add1</x:v>
      </x:c>
      <x:c r="G440" s="4" t="str">
        <x:v>a, b, sum, cin, cout</x:v>
      </x:c>
      <x:c r="H440" s="4" t="str">
        <x:v>Complete the existing module/interface and write the intended port-level contract before attempting functional vectors. This plan does not implement it.</x:v>
      </x:c>
      <x:c r="I440" s="4" t="str">
        <x:v>A named module elaborates with driven outputs and a defined function. Current source is empty or malformed, so functional pass criteria cannot be inferred safely.</x:v>
      </x:c>
      <x:c r="J440" s="17"/>
      <x:c r="K440" s="24"/>
      <x:c r="L440" s="17"/>
      <x:c r="M440" s="17" t="str">
        <x:v>Existing stub; not a passing design.</x:v>
      </x:c>
      <x:c r="N440" s="4" t="str">
        <x:v>HDLBits Attempt 1/study/solutions/Day 02/024-module_fadd.sv</x:v>
      </x:c>
      <x:c r="O440" s="25" t="str">
        <x:v>https://github.com/kapiltrip/hdlBits/blob/fc3f2b993a1e202ef42a8e831c29f8f287f85e7a/HDLBits%20Attempt%201/study/solutions/Day%2002/024-module_fadd.sv</x:v>
      </x:c>
      <x:c r="P440" s="4" t="str">
        <x:f>IF(B440="Done",IF(OR(J440="",K440="",L440=""),"Add run evidence","Recorded"),IF(OR(B440="Blocked",B440="N/A"),IF(M440="","Add reason","Reason recorded"),""))</x:f>
        <x:v>Reason recorded</x:v>
      </x:c>
      <x:c r="Q440" s="4" t="str">
        <x:v>fc3f2b993a1e202ef42a8e831c29f8f287f85e7a</x:v>
      </x:c>
    </x:row>
    <x:row r="441" ht="86" customHeight="1">
      <x:c r="A441" s="15" t="str">
        <x:v>HDL-025</x:v>
      </x:c>
      <x:c r="B441" s="23" t="str">
        <x:v>Blocked</x:v>
      </x:c>
      <x:c r="C441" s="21" t="str">
        <x:v>P0</x:v>
      </x:c>
      <x:c r="D441" s="15" t="str">
        <x:v>hdlBits</x:v>
      </x:c>
      <x:c r="E441" s="15" t="str">
        <x:v>Implementation prerequisite</x:v>
      </x:c>
      <x:c r="F441" s="15" t="str">
        <x:v>Define and implement top_module</x:v>
      </x:c>
      <x:c r="G441" s="15" t="str">
        <x:v>a, b, sum</x:v>
      </x:c>
      <x:c r="H441" s="15" t="str">
        <x:v>Complete the existing module/interface and write the intended port-level contract before attempting functional vectors. This plan does not implement it.</x:v>
      </x:c>
      <x:c r="I441" s="15" t="str">
        <x:v>A named module elaborates with driven outputs and a defined function. Current source is empty or malformed, so functional pass criteria cannot be inferred safely.</x:v>
      </x:c>
      <x:c r="J441" s="17"/>
      <x:c r="K441" s="24"/>
      <x:c r="L441" s="17"/>
      <x:c r="M441" s="17" t="str">
        <x:v>Existing stub; not a passing design.</x:v>
      </x:c>
      <x:c r="N441" s="15" t="str">
        <x:v>HDLBits Attempt 1/study/solutions/Day 02/025-module_cseladd.sv</x:v>
      </x:c>
      <x:c r="O441" s="26" t="str">
        <x:v>https://github.com/kapiltrip/hdlBits/blob/fc3f2b993a1e202ef42a8e831c29f8f287f85e7a/HDLBits%20Attempt%201/study/solutions/Day%2002/025-module_cseladd.sv</x:v>
      </x:c>
      <x:c r="P441" s="15" t="str">
        <x:f>IF(B441="Done",IF(OR(J441="",K441="",L441=""),"Add run evidence","Recorded"),IF(OR(B441="Blocked",B441="N/A"),IF(M441="","Add reason","Reason recorded"),""))</x:f>
        <x:v>Reason recorded</x:v>
      </x:c>
      <x:c r="Q441" s="15" t="str">
        <x:v>fc3f2b993a1e202ef42a8e831c29f8f287f85e7a</x:v>
      </x:c>
    </x:row>
    <x:row r="442" ht="86" customHeight="1">
      <x:c r="A442" s="4" t="str">
        <x:v>HDL-026</x:v>
      </x:c>
      <x:c r="B442" s="19" t="str">
        <x:v>Pending</x:v>
      </x:c>
      <x:c r="C442" s="4" t="str">
        <x:v>P1</x:v>
      </x:c>
      <x:c r="D442" s="4" t="str">
        <x:v>hdlBits</x:v>
      </x:c>
      <x:c r="E442" s="4" t="str">
        <x:v>Arithmetic</x:v>
      </x:c>
      <x:c r="F442" s="4" t="str">
        <x:v>Arithmetic, carry/borrow and width</x:v>
      </x:c>
      <x:c r="G442" s="4" t="str">
        <x:v>a, b, sub, sum</x:v>
      </x:c>
      <x:c r="H442" s="4" t="str">
        <x:v>Exercise a, b, sub at zero, one, maximum, alternating patterns and long carry/borrow chains. Exhaust all combinations for small widths; include both carry-in/subtract settings when present.</x:v>
      </x:c>
      <x:c r="I442" s="4" t="str">
        <x:v>Compute the integer arithmetic independently, then apply the declared result width. Check every sum bit including carry, borrow or signed overflow where exposed. Carry-out and signed overflow are different.  Source mapping: sum = {sumUpper,sumlower}.</x:v>
      </x:c>
      <x:c r="J442" s="17"/>
      <x:c r="K442" s="24"/>
      <x:c r="L442" s="17"/>
      <x:c r="M442" s="17" t="str">
        <x:v>Compile this exercise separately because many files declare top_module. Use the original exercise statement as an independent oracle; helper stubs establish elaboration only.</x:v>
      </x:c>
      <x:c r="N442" s="4" t="str">
        <x:v>HDLBits Attempt 1/study/solutions/Day 02/026-module_addsub.sv</x:v>
      </x:c>
      <x:c r="O442" s="25" t="str">
        <x:v>https://github.com/kapiltrip/hdlBits/blob/fc3f2b993a1e202ef42a8e831c29f8f287f85e7a/HDLBits%20Attempt%201/study/solutions/Day%2002/026-module_addsub.sv</x:v>
      </x:c>
      <x:c r="P442" s="4" t="str">
        <x:f>IF(B442="Done",IF(OR(J442="",K442="",L442=""),"Add run evidence","Recorded"),IF(OR(B442="Blocked",B442="N/A"),IF(M442="","Add reason","Reason recorded"),""))</x:f>
      </x:c>
      <x:c r="Q442" s="4" t="str">
        <x:v>fc3f2b993a1e202ef42a8e831c29f8f287f85e7a</x:v>
      </x:c>
    </x:row>
    <x:row r="443" ht="86" customHeight="1">
      <x:c r="A443" s="15" t="str">
        <x:v>HDL-027</x:v>
      </x:c>
      <x:c r="B443" s="19" t="str">
        <x:v>Pending</x:v>
      </x:c>
      <x:c r="C443" s="15" t="str">
        <x:v>P1</x:v>
      </x:c>
      <x:c r="D443" s="15" t="str">
        <x:v>hdlBits</x:v>
      </x:c>
      <x:c r="E443" s="15" t="str">
        <x:v>Combinational logic</x:v>
      </x:c>
      <x:c r="F443" s="15" t="str">
        <x:v>Input combinations and output mapping</x:v>
      </x:c>
      <x:c r="G443" s="15" t="str">
        <x:v>a, b, out_assign, out_alwaysblock</x:v>
      </x:c>
      <x:c r="H443" s="15" t="str">
        <x:v>Drive a, b through binary combinations when small; for vectors use zero, all ones, alternating bits and walking one/zero. Toggle one input at a time and include rapid changes after a previous nonzero result.</x:v>
      </x:c>
      <x:c r="I443" s="15" t="str">
        <x:v>Check out_assign, out_alwaysblock against an independently written truth table. Combinational results must settle without a clock or stale retained values. Source mapping: out_assign = a&amp;b.</x:v>
      </x:c>
      <x:c r="J443" s="17"/>
      <x:c r="K443" s="24"/>
      <x:c r="L443" s="17"/>
      <x:c r="M443" s="17" t="str">
        <x:v>Compile this exercise separately because many files declare top_module. Use the original exercise statement as an independent oracle; helper stubs establish elaboration only.</x:v>
      </x:c>
      <x:c r="N443" s="15" t="str">
        <x:v>HDLBits Attempt 1/study/solutions/Day 02/027-alwaysblock1.sv</x:v>
      </x:c>
      <x:c r="O443" s="26" t="str">
        <x:v>https://github.com/kapiltrip/hdlBits/blob/fc3f2b993a1e202ef42a8e831c29f8f287f85e7a/HDLBits%20Attempt%201/study/solutions/Day%2002/027-alwaysblock1.sv</x:v>
      </x:c>
      <x:c r="P443" s="15" t="str">
        <x:f>IF(B443="Done",IF(OR(J443="",K443="",L443=""),"Add run evidence","Recorded"),IF(OR(B443="Blocked",B443="N/A"),IF(M443="","Add reason","Reason recorded"),""))</x:f>
      </x:c>
      <x:c r="Q443" s="15" t="str">
        <x:v>fc3f2b993a1e202ef42a8e831c29f8f287f85e7a</x:v>
      </x:c>
    </x:row>
    <x:row r="444" ht="86" customHeight="1">
      <x:c r="A444" s="4" t="str">
        <x:v>HDL-028</x:v>
      </x:c>
      <x:c r="B444" s="23" t="str">
        <x:v>Blocked</x:v>
      </x:c>
      <x:c r="C444" s="20" t="str">
        <x:v>P0</x:v>
      </x:c>
      <x:c r="D444" s="4" t="str">
        <x:v>hdlBits</x:v>
      </x:c>
      <x:c r="E444" s="4" t="str">
        <x:v>Implementation prerequisite</x:v>
      </x:c>
      <x:c r="F444" s="4" t="str">
        <x:v>Define and implement top_module</x:v>
      </x:c>
      <x:c r="G444" s="4" t="str">
        <x:v>clk, a, b, out_assign, out_always_comb, out_always_ff</x:v>
      </x:c>
      <x:c r="H444" s="4" t="str">
        <x:v>Complete the existing module/interface and write the intended port-level contract before attempting functional vectors. This plan does not implement it.</x:v>
      </x:c>
      <x:c r="I444" s="4" t="str">
        <x:v>A named module elaborates with driven outputs and a defined function. Current source is empty or malformed, so functional pass criteria cannot be inferred safely.</x:v>
      </x:c>
      <x:c r="J444" s="17"/>
      <x:c r="K444" s="24"/>
      <x:c r="L444" s="17"/>
      <x:c r="M444" s="17" t="str">
        <x:v>Existing stub; not a passing design.</x:v>
      </x:c>
      <x:c r="N444" s="4" t="str">
        <x:v>HDLBits Attempt 1/study/solutions/Day 02/028-alwaysblock2.sv</x:v>
      </x:c>
      <x:c r="O444" s="25" t="str">
        <x:v>https://github.com/kapiltrip/hdlBits/blob/fc3f2b993a1e202ef42a8e831c29f8f287f85e7a/HDLBits%20Attempt%201/study/solutions/Day%2002/028-alwaysblock2.sv</x:v>
      </x:c>
      <x:c r="P444" s="4" t="str">
        <x:f>IF(B444="Done",IF(OR(J444="",K444="",L444=""),"Add run evidence","Recorded"),IF(OR(B444="Blocked",B444="N/A"),IF(M444="","Add reason","Reason recorded"),""))</x:f>
        <x:v>Reason recorded</x:v>
      </x:c>
      <x:c r="Q444" s="4" t="str">
        <x:v>fc3f2b993a1e202ef42a8e831c29f8f287f85e7a</x:v>
      </x:c>
    </x:row>
    <x:row r="445" ht="86" customHeight="1">
      <x:c r="A445" s="15" t="str">
        <x:v>HDL-029</x:v>
      </x:c>
      <x:c r="B445" s="23" t="str">
        <x:v>Blocked</x:v>
      </x:c>
      <x:c r="C445" s="21" t="str">
        <x:v>P0</x:v>
      </x:c>
      <x:c r="D445" s="15" t="str">
        <x:v>hdlBits</x:v>
      </x:c>
      <x:c r="E445" s="15" t="str">
        <x:v>Implementation prerequisite</x:v>
      </x:c>
      <x:c r="F445" s="15" t="str">
        <x:v>Define and implement top_module</x:v>
      </x:c>
      <x:c r="G445" s="15" t="str">
        <x:v>a, b, sel_b1, sel_b2, out_assign, out_always</x:v>
      </x:c>
      <x:c r="H445" s="15" t="str">
        <x:v>Complete the existing module/interface and write the intended port-level contract before attempting functional vectors. This plan does not implement it.</x:v>
      </x:c>
      <x:c r="I445" s="15" t="str">
        <x:v>A named module elaborates with driven outputs and a defined function. Current source is empty or malformed, so functional pass criteria cannot be inferred safely.</x:v>
      </x:c>
      <x:c r="J445" s="17"/>
      <x:c r="K445" s="24"/>
      <x:c r="L445" s="17"/>
      <x:c r="M445" s="17" t="str">
        <x:v>Existing stub; not a passing design.</x:v>
      </x:c>
      <x:c r="N445" s="15" t="str">
        <x:v>HDLBits Attempt 1/study/solutions/Day 02/029-always_if.sv</x:v>
      </x:c>
      <x:c r="O445" s="26" t="str">
        <x:v>https://github.com/kapiltrip/hdlBits/blob/fc3f2b993a1e202ef42a8e831c29f8f287f85e7a/HDLBits%20Attempt%201/study/solutions/Day%2002/029-always_if.sv</x:v>
      </x:c>
      <x:c r="P445" s="15" t="str">
        <x:f>IF(B445="Done",IF(OR(J445="",K445="",L445=""),"Add run evidence","Recorded"),IF(OR(B445="Blocked",B445="N/A"),IF(M445="","Add reason","Reason recorded"),""))</x:f>
        <x:v>Reason recorded</x:v>
      </x:c>
      <x:c r="Q445" s="15" t="str">
        <x:v>fc3f2b993a1e202ef42a8e831c29f8f287f85e7a</x:v>
      </x:c>
    </x:row>
    <x:row r="446" ht="86" customHeight="1">
      <x:c r="A446" s="4" t="str">
        <x:v>HDL-030</x:v>
      </x:c>
      <x:c r="B446" s="19" t="str">
        <x:v>Pending</x:v>
      </x:c>
      <x:c r="C446" s="4" t="str">
        <x:v>P1</x:v>
      </x:c>
      <x:c r="D446" s="4" t="str">
        <x:v>hdlBits</x:v>
      </x:c>
      <x:c r="E446" s="4" t="str">
        <x:v>Combinational logic</x:v>
      </x:c>
      <x:c r="F446" s="4" t="str">
        <x:v>Input combinations and output mapping</x:v>
      </x:c>
      <x:c r="G446" s="4" t="str">
        <x:v>cpu_overheated, arrived, gas_tank_empty, shut_off_computer, keep_driving</x:v>
      </x:c>
      <x:c r="H446" s="4" t="str">
        <x:v>Drive cpu_overheated, arrived, gas_tank_empty through binary combinations when small; for vectors use zero, all ones, alternating bits and walking one/zero. Toggle one input at a time and include rapid changes after a previous nonzero result.</x:v>
      </x:c>
      <x:c r="I446" s="4" t="str">
        <x:v>Check shut_off_computer, keep_driving against an independently written truth table. Combinational results must settle without a clock or stale retained values.</x:v>
      </x:c>
      <x:c r="J446" s="17"/>
      <x:c r="K446" s="24"/>
      <x:c r="L446" s="17"/>
      <x:c r="M446" s="17" t="str">
        <x:v>Compile this exercise separately because many files declare top_module. Use the original exercise statement as an independent oracle; helper stubs establish elaboration only.</x:v>
      </x:c>
      <x:c r="N446" s="4" t="str">
        <x:v>HDLBits Attempt 1/study/solutions/Day 02/030-always_if2.sv</x:v>
      </x:c>
      <x:c r="O446" s="25" t="str">
        <x:v>https://github.com/kapiltrip/hdlBits/blob/fc3f2b993a1e202ef42a8e831c29f8f287f85e7a/HDLBits%20Attempt%201/study/solutions/Day%2002/030-always_if2.sv</x:v>
      </x:c>
      <x:c r="P446" s="4" t="str">
        <x:f>IF(B446="Done",IF(OR(J446="",K446="",L446=""),"Add run evidence","Recorded"),IF(OR(B446="Blocked",B446="N/A"),IF(M446="","Add reason","Reason recorded"),""))</x:f>
      </x:c>
      <x:c r="Q446" s="4" t="str">
        <x:v>fc3f2b993a1e202ef42a8e831c29f8f287f85e7a</x:v>
      </x:c>
    </x:row>
    <x:row r="447" ht="86" customHeight="1">
      <x:c r="A447" s="15" t="str">
        <x:v>HDL-031</x:v>
      </x:c>
      <x:c r="B447" s="19" t="str">
        <x:v>Pending</x:v>
      </x:c>
      <x:c r="C447" s="15" t="str">
        <x:v>P1</x:v>
      </x:c>
      <x:c r="D447" s="15" t="str">
        <x:v>hdlBits</x:v>
      </x:c>
      <x:c r="E447" s="15" t="str">
        <x:v>Combinational logic</x:v>
      </x:c>
      <x:c r="F447" s="15" t="str">
        <x:v>Input combinations and output mapping</x:v>
      </x:c>
      <x:c r="G447" s="15" t="str">
        <x:v>sel, data0, data1, data2, data3, data4, data5, out</x:v>
      </x:c>
      <x:c r="H447" s="15" t="str">
        <x:v>Drive sel, data0, data1, data2, data3, data4, data5 through binary combinations when small; for vectors use zero, all ones, alternating bits and walking one/zero. Toggle one input at a time and include rapid changes after a previous nonzero result.</x:v>
      </x:c>
      <x:c r="I447" s="15" t="str">
        <x:v>Check out against an independently written truth table. Combinational results must settle without a clock or stale retained values.</x:v>
      </x:c>
      <x:c r="J447" s="17"/>
      <x:c r="K447" s="24"/>
      <x:c r="L447" s="17"/>
      <x:c r="M447" s="17" t="str">
        <x:v>Compile this exercise separately because many files declare top_module. Use the original exercise statement as an independent oracle; helper stubs establish elaboration only.</x:v>
      </x:c>
      <x:c r="N447" s="15" t="str">
        <x:v>HDLBits Attempt 1/study/solutions/Day 02/031-always_case.sv</x:v>
      </x:c>
      <x:c r="O447" s="26" t="str">
        <x:v>https://github.com/kapiltrip/hdlBits/blob/fc3f2b993a1e202ef42a8e831c29f8f287f85e7a/HDLBits%20Attempt%201/study/solutions/Day%2002/031-always_case.sv</x:v>
      </x:c>
      <x:c r="P447" s="15" t="str">
        <x:f>IF(B447="Done",IF(OR(J447="",K447="",L447=""),"Add run evidence","Recorded"),IF(OR(B447="Blocked",B447="N/A"),IF(M447="","Add reason","Reason recorded"),""))</x:f>
      </x:c>
      <x:c r="Q447" s="15" t="str">
        <x:v>fc3f2b993a1e202ef42a8e831c29f8f287f85e7a</x:v>
      </x:c>
    </x:row>
    <x:row r="448" ht="86" customHeight="1">
      <x:c r="A448" s="4" t="str">
        <x:v>HDL-032</x:v>
      </x:c>
      <x:c r="B448" s="23" t="str">
        <x:v>Blocked</x:v>
      </x:c>
      <x:c r="C448" s="20" t="str">
        <x:v>P0</x:v>
      </x:c>
      <x:c r="D448" s="4" t="str">
        <x:v>hdlBits</x:v>
      </x:c>
      <x:c r="E448" s="4" t="str">
        <x:v>Implementation prerequisite</x:v>
      </x:c>
      <x:c r="F448" s="4" t="str">
        <x:v>Define and implement top_module</x:v>
      </x:c>
      <x:c r="G448" s="4" t="str">
        <x:v>in, pos</x:v>
      </x:c>
      <x:c r="H448" s="4" t="str">
        <x:v>Complete the existing module/interface and write the intended port-level contract before attempting functional vectors. This plan does not implement it.</x:v>
      </x:c>
      <x:c r="I448" s="4" t="str">
        <x:v>A named module elaborates with driven outputs and a defined function. Current source is empty or malformed, so functional pass criteria cannot be inferred safely.</x:v>
      </x:c>
      <x:c r="J448" s="17"/>
      <x:c r="K448" s="24"/>
      <x:c r="L448" s="17"/>
      <x:c r="M448" s="17" t="str">
        <x:v>Existing stub; not a passing design.</x:v>
      </x:c>
      <x:c r="N448" s="4" t="str">
        <x:v>HDLBits Attempt 1/study/solutions/Day 02/032-always_case2.sv</x:v>
      </x:c>
      <x:c r="O448" s="25" t="str">
        <x:v>https://github.com/kapiltrip/hdlBits/blob/fc3f2b993a1e202ef42a8e831c29f8f287f85e7a/HDLBits%20Attempt%201/study/solutions/Day%2002/032-always_case2.sv</x:v>
      </x:c>
      <x:c r="P448" s="4" t="str">
        <x:f>IF(B448="Done",IF(OR(J448="",K448="",L448=""),"Add run evidence","Recorded"),IF(OR(B448="Blocked",B448="N/A"),IF(M448="","Add reason","Reason recorded"),""))</x:f>
        <x:v>Reason recorded</x:v>
      </x:c>
      <x:c r="Q448" s="4" t="str">
        <x:v>fc3f2b993a1e202ef42a8e831c29f8f287f85e7a</x:v>
      </x:c>
    </x:row>
    <x:row r="449" ht="86" customHeight="1">
      <x:c r="A449" s="15" t="str">
        <x:v>HDL-033</x:v>
      </x:c>
      <x:c r="B449" s="19" t="str">
        <x:v>Pending</x:v>
      </x:c>
      <x:c r="C449" s="15" t="str">
        <x:v>P1</x:v>
      </x:c>
      <x:c r="D449" s="15" t="str">
        <x:v>hdlBits</x:v>
      </x:c>
      <x:c r="E449" s="15" t="str">
        <x:v>Combinational logic</x:v>
      </x:c>
      <x:c r="F449" s="15" t="str">
        <x:v>Input combinations and output mapping</x:v>
      </x:c>
      <x:c r="G449" s="15" t="str">
        <x:v>in, pos</x:v>
      </x:c>
      <x:c r="H449" s="15" t="str">
        <x:v>Drive in through binary combinations when small; for vectors use zero, all ones, alternating bits and walking one/zero. Toggle one input at a time and include rapid changes after a previous nonzero result.</x:v>
      </x:c>
      <x:c r="I449" s="15" t="str">
        <x:v>Check pos against an independently written truth table. Combinational results must settle without a clock or stale retained values.</x:v>
      </x:c>
      <x:c r="J449" s="17"/>
      <x:c r="K449" s="24"/>
      <x:c r="L449" s="17"/>
      <x:c r="M449" s="17" t="str">
        <x:v>Compile this exercise separately because many files declare top_module. Use the original exercise statement as an independent oracle; helper stubs establish elaboration only.</x:v>
      </x:c>
      <x:c r="N449" s="15" t="str">
        <x:v>HDLBits Attempt 1/study/solutions/Day 02/033-always_casez.sv</x:v>
      </x:c>
      <x:c r="O449" s="26" t="str">
        <x:v>https://github.com/kapiltrip/hdlBits/blob/fc3f2b993a1e202ef42a8e831c29f8f287f85e7a/HDLBits%20Attempt%201/study/solutions/Day%2002/033-always_casez.sv</x:v>
      </x:c>
      <x:c r="P449" s="15" t="str">
        <x:f>IF(B449="Done",IF(OR(J449="",K449="",L449=""),"Add run evidence","Recorded"),IF(OR(B449="Blocked",B449="N/A"),IF(M449="","Add reason","Reason recorded"),""))</x:f>
      </x:c>
      <x:c r="Q449" s="15" t="str">
        <x:v>fc3f2b993a1e202ef42a8e831c29f8f287f85e7a</x:v>
      </x:c>
    </x:row>
    <x:row r="450" ht="86" customHeight="1">
      <x:c r="A450" s="4" t="str">
        <x:v>HDL-034</x:v>
      </x:c>
      <x:c r="B450" s="19" t="str">
        <x:v>Pending</x:v>
      </x:c>
      <x:c r="C450" s="4" t="str">
        <x:v>P1</x:v>
      </x:c>
      <x:c r="D450" s="4" t="str">
        <x:v>hdlBits</x:v>
      </x:c>
      <x:c r="E450" s="4" t="str">
        <x:v>Combinational logic</x:v>
      </x:c>
      <x:c r="F450" s="4" t="str">
        <x:v>Input combinations and output mapping</x:v>
      </x:c>
      <x:c r="G450" s="4" t="str">
        <x:v>scancode, left, down, right, up</x:v>
      </x:c>
      <x:c r="H450" s="4" t="str">
        <x:v>Drive scancode through binary combinations when small; for vectors use zero, all ones, alternating bits and walking one/zero. Toggle one input at a time and include rapid changes after a previous nonzero result.</x:v>
      </x:c>
      <x:c r="I450" s="4" t="str">
        <x:v>Check left, down, right, up against an independently written truth table. Combinational results must settle without a clock or stale retained values.</x:v>
      </x:c>
      <x:c r="J450" s="17"/>
      <x:c r="K450" s="24"/>
      <x:c r="L450" s="17"/>
      <x:c r="M450" s="17" t="str">
        <x:v>Compile this exercise separately because many files declare top_module. Use the original exercise statement as an independent oracle; helper stubs establish elaboration only.</x:v>
      </x:c>
      <x:c r="N450" s="4" t="str">
        <x:v>HDLBits Attempt 1/study/solutions/Day 02/034-always_nolatches.sv</x:v>
      </x:c>
      <x:c r="O450" s="25" t="str">
        <x:v>https://github.com/kapiltrip/hdlBits/blob/fc3f2b993a1e202ef42a8e831c29f8f287f85e7a/HDLBits%20Attempt%201/study/solutions/Day%2002/034-always_nolatches.sv</x:v>
      </x:c>
      <x:c r="P450" s="4" t="str">
        <x:f>IF(B450="Done",IF(OR(J450="",K450="",L450=""),"Add run evidence","Recorded"),IF(OR(B450="Blocked",B450="N/A"),IF(M450="","Add reason","Reason recorded"),""))</x:f>
      </x:c>
      <x:c r="Q450" s="4" t="str">
        <x:v>fc3f2b993a1e202ef42a8e831c29f8f287f85e7a</x:v>
      </x:c>
    </x:row>
    <x:row r="451" ht="86" customHeight="1">
      <x:c r="A451" s="15" t="str">
        <x:v>HDL-035</x:v>
      </x:c>
      <x:c r="B451" s="19" t="str">
        <x:v>Pending</x:v>
      </x:c>
      <x:c r="C451" s="15" t="str">
        <x:v>P1</x:v>
      </x:c>
      <x:c r="D451" s="15" t="str">
        <x:v>hdlBits</x:v>
      </x:c>
      <x:c r="E451" s="15" t="str">
        <x:v>Combinational logic</x:v>
      </x:c>
      <x:c r="F451" s="15" t="str">
        <x:v>Input combinations and output mapping</x:v>
      </x:c>
      <x:c r="G451" s="15" t="str">
        <x:v>a, b, c, d, min</x:v>
      </x:c>
      <x:c r="H451" s="15" t="str">
        <x:v>Drive a, b, c, d through binary combinations when small; for vectors use zero, all ones, alternating bits and walking one/zero. Toggle one input at a time and include rapid changes after a previous nonzero result.</x:v>
      </x:c>
      <x:c r="I451" s="15" t="str">
        <x:v>Check min against an independently written truth table. Combinational results must settle without a clock or stale retained values. Source mapping: min = (minAB&lt;minCD)?minAB:minCD.</x:v>
      </x:c>
      <x:c r="J451" s="17"/>
      <x:c r="K451" s="24"/>
      <x:c r="L451" s="17"/>
      <x:c r="M451" s="17" t="str">
        <x:v>Compile this exercise separately because many files declare top_module. Use the original exercise statement as an independent oracle; helper stubs establish elaboration only.</x:v>
      </x:c>
      <x:c r="N451" s="15" t="str">
        <x:v>HDLBits Attempt 1/study/solutions/Day 02/035-conditional.sv</x:v>
      </x:c>
      <x:c r="O451" s="26" t="str">
        <x:v>https://github.com/kapiltrip/hdlBits/blob/fc3f2b993a1e202ef42a8e831c29f8f287f85e7a/HDLBits%20Attempt%201/study/solutions/Day%2002/035-conditional.sv</x:v>
      </x:c>
      <x:c r="P451" s="15" t="str">
        <x:f>IF(B451="Done",IF(OR(J451="",K451="",L451=""),"Add run evidence","Recorded"),IF(OR(B451="Blocked",B451="N/A"),IF(M451="","Add reason","Reason recorded"),""))</x:f>
      </x:c>
      <x:c r="Q451" s="15" t="str">
        <x:v>fc3f2b993a1e202ef42a8e831c29f8f287f85e7a</x:v>
      </x:c>
    </x:row>
    <x:row r="452" ht="86" customHeight="1">
      <x:c r="A452" s="4" t="str">
        <x:v>HDL-036</x:v>
      </x:c>
      <x:c r="B452" s="19" t="str">
        <x:v>Pending</x:v>
      </x:c>
      <x:c r="C452" s="4" t="str">
        <x:v>P1</x:v>
      </x:c>
      <x:c r="D452" s="4" t="str">
        <x:v>hdlBits</x:v>
      </x:c>
      <x:c r="E452" s="4" t="str">
        <x:v>Combinational logic</x:v>
      </x:c>
      <x:c r="F452" s="4" t="str">
        <x:v>Input combinations and output mapping</x:v>
      </x:c>
      <x:c r="G452" s="4" t="str">
        <x:v>in, parity</x:v>
      </x:c>
      <x:c r="H452" s="4" t="str">
        <x:v>Drive in through binary combinations when small; for vectors use zero, all ones, alternating bits and walking one/zero. Toggle one input at a time and include rapid changes after a previous nonzero result.</x:v>
      </x:c>
      <x:c r="I452" s="4" t="str">
        <x:v>Check parity against an independently written truth table. Combinational results must settle without a clock or stale retained values. Source mapping: parity = ^in.</x:v>
      </x:c>
      <x:c r="J452" s="17"/>
      <x:c r="K452" s="24"/>
      <x:c r="L452" s="17"/>
      <x:c r="M452" s="17" t="str">
        <x:v>Compile this exercise separately because many files declare top_module. Use the original exercise statement as an independent oracle; helper stubs establish elaboration only.</x:v>
      </x:c>
      <x:c r="N452" s="4" t="str">
        <x:v>HDLBits Attempt 1/study/solutions/Day 02/036-reduction.sv</x:v>
      </x:c>
      <x:c r="O452" s="25" t="str">
        <x:v>https://github.com/kapiltrip/hdlBits/blob/fc3f2b993a1e202ef42a8e831c29f8f287f85e7a/HDLBits%20Attempt%201/study/solutions/Day%2002/036-reduction.sv</x:v>
      </x:c>
      <x:c r="P452" s="4" t="str">
        <x:f>IF(B452="Done",IF(OR(J452="",K452="",L452=""),"Add run evidence","Recorded"),IF(OR(B452="Blocked",B452="N/A"),IF(M452="","Add reason","Reason recorded"),""))</x:f>
      </x:c>
      <x:c r="Q452" s="4" t="str">
        <x:v>fc3f2b993a1e202ef42a8e831c29f8f287f85e7a</x:v>
      </x:c>
    </x:row>
    <x:row r="453" ht="86" customHeight="1">
      <x:c r="A453" s="15" t="str">
        <x:v>HDL-037</x:v>
      </x:c>
      <x:c r="B453" s="19" t="str">
        <x:v>Pending</x:v>
      </x:c>
      <x:c r="C453" s="15" t="str">
        <x:v>P1</x:v>
      </x:c>
      <x:c r="D453" s="15" t="str">
        <x:v>hdlBits</x:v>
      </x:c>
      <x:c r="E453" s="15" t="str">
        <x:v>Combinational logic</x:v>
      </x:c>
      <x:c r="F453" s="15" t="str">
        <x:v>Input combinations and output mapping</x:v>
      </x:c>
      <x:c r="G453" s="15" t="str">
        <x:v>in, out_and, out_or, out_xor</x:v>
      </x:c>
      <x:c r="H453" s="15" t="str">
        <x:v>Drive in through binary combinations when small; for vectors use zero, all ones, alternating bits and walking one/zero. Toggle one input at a time and include rapid changes after a previous nonzero result.</x:v>
      </x:c>
      <x:c r="I453" s="15" t="str">
        <x:v>Check out_and, out_or, out_xor against an independently written truth table. Combinational results must settle without a clock or stale retained values. Source mapping: out_and = &amp;in; out_or = |in; out_xor = ^in.</x:v>
      </x:c>
      <x:c r="J453" s="17"/>
      <x:c r="K453" s="24"/>
      <x:c r="L453" s="17"/>
      <x:c r="M453" s="17" t="str">
        <x:v>Compile this exercise separately because many files declare top_module. Use the original exercise statement as an independent oracle; helper stubs establish elaboration only.</x:v>
      </x:c>
      <x:c r="N453" s="15" t="str">
        <x:v>HDLBits Attempt 1/study/solutions/Day 02/037-gates100.sv</x:v>
      </x:c>
      <x:c r="O453" s="26" t="str">
        <x:v>https://github.com/kapiltrip/hdlBits/blob/fc3f2b993a1e202ef42a8e831c29f8f287f85e7a/HDLBits%20Attempt%201/study/solutions/Day%2002/037-gates100.sv</x:v>
      </x:c>
      <x:c r="P453" s="15" t="str">
        <x:f>IF(B453="Done",IF(OR(J453="",K453="",L453=""),"Add run evidence","Recorded"),IF(OR(B453="Blocked",B453="N/A"),IF(M453="","Add reason","Reason recorded"),""))</x:f>
      </x:c>
      <x:c r="Q453" s="15" t="str">
        <x:v>fc3f2b993a1e202ef42a8e831c29f8f287f85e7a</x:v>
      </x:c>
    </x:row>
    <x:row r="454" ht="86" customHeight="1">
      <x:c r="A454" s="4" t="str">
        <x:v>HDL-038</x:v>
      </x:c>
      <x:c r="B454" s="19" t="str">
        <x:v>Pending</x:v>
      </x:c>
      <x:c r="C454" s="4" t="str">
        <x:v>P1</x:v>
      </x:c>
      <x:c r="D454" s="4" t="str">
        <x:v>hdlBits</x:v>
      </x:c>
      <x:c r="E454" s="4" t="str">
        <x:v>Combinational logic</x:v>
      </x:c>
      <x:c r="F454" s="4" t="str">
        <x:v>Input combinations and output mapping</x:v>
      </x:c>
      <x:c r="G454" s="4" t="str">
        <x:v>in, out</x:v>
      </x:c>
      <x:c r="H454" s="4" t="str">
        <x:v>Drive in through binary combinations when small; for vectors use zero, all ones, alternating bits and walking one/zero. Toggle one input at a time and include rapid changes after a previous nonzero result.</x:v>
      </x:c>
      <x:c r="I454" s="4" t="str">
        <x:v>Check out against an independently written truth table. Combinational results must settle without a clock or stale retained values. Source mapping: out[i] = in[99-i].</x:v>
      </x:c>
      <x:c r="J454" s="17"/>
      <x:c r="K454" s="24"/>
      <x:c r="L454" s="17"/>
      <x:c r="M454" s="17" t="str">
        <x:v>Compile this exercise separately because many files declare top_module. Use the original exercise statement as an independent oracle; helper stubs establish elaboration only.</x:v>
      </x:c>
      <x:c r="N454" s="4" t="str">
        <x:v>HDLBits Attempt 1/study/solutions/Day 02/038-vector100r.sv</x:v>
      </x:c>
      <x:c r="O454" s="25" t="str">
        <x:v>https://github.com/kapiltrip/hdlBits/blob/fc3f2b993a1e202ef42a8e831c29f8f287f85e7a/HDLBits%20Attempt%201/study/solutions/Day%2002/038-vector100r.sv</x:v>
      </x:c>
      <x:c r="P454" s="4" t="str">
        <x:f>IF(B454="Done",IF(OR(J454="",K454="",L454=""),"Add run evidence","Recorded"),IF(OR(B454="Blocked",B454="N/A"),IF(M454="","Add reason","Reason recorded"),""))</x:f>
      </x:c>
      <x:c r="Q454" s="4" t="str">
        <x:v>fc3f2b993a1e202ef42a8e831c29f8f287f85e7a</x:v>
      </x:c>
    </x:row>
    <x:row r="455" ht="86" customHeight="1">
      <x:c r="A455" s="15" t="str">
        <x:v>HDL-039</x:v>
      </x:c>
      <x:c r="B455" s="19" t="str">
        <x:v>Pending</x:v>
      </x:c>
      <x:c r="C455" s="15" t="str">
        <x:v>P1</x:v>
      </x:c>
      <x:c r="D455" s="15" t="str">
        <x:v>hdlBits</x:v>
      </x:c>
      <x:c r="E455" s="15" t="str">
        <x:v>Combinational logic</x:v>
      </x:c>
      <x:c r="F455" s="15" t="str">
        <x:v>Input combinations and output mapping</x:v>
      </x:c>
      <x:c r="G455" s="15" t="str">
        <x:v>in, out</x:v>
      </x:c>
      <x:c r="H455" s="15" t="str">
        <x:v>Drive in through binary combinations when small; for vectors use zero, all ones, alternating bits and walking one/zero. Toggle one input at a time and include rapid changes after a previous nonzero result.</x:v>
      </x:c>
      <x:c r="I455" s="15" t="str">
        <x:v>Check out against an independently written truth table. Combinational results must settle without a clock or stale retained values.</x:v>
      </x:c>
      <x:c r="J455" s="17"/>
      <x:c r="K455" s="24"/>
      <x:c r="L455" s="17"/>
      <x:c r="M455" s="17" t="str">
        <x:v>Compile this exercise separately because many files declare top_module. Use the original exercise statement as an independent oracle; helper stubs establish elaboration only.</x:v>
      </x:c>
      <x:c r="N455" s="15" t="str">
        <x:v>HDLBits Attempt 1/study/solutions/Day 02/039-popcount255.sv</x:v>
      </x:c>
      <x:c r="O455" s="26" t="str">
        <x:v>https://github.com/kapiltrip/hdlBits/blob/fc3f2b993a1e202ef42a8e831c29f8f287f85e7a/HDLBits%20Attempt%201/study/solutions/Day%2002/039-popcount255.sv</x:v>
      </x:c>
      <x:c r="P455" s="15" t="str">
        <x:f>IF(B455="Done",IF(OR(J455="",K455="",L455=""),"Add run evidence","Recorded"),IF(OR(B455="Blocked",B455="N/A"),IF(M455="","Add reason","Reason recorded"),""))</x:f>
      </x:c>
      <x:c r="Q455" s="15" t="str">
        <x:v>fc3f2b993a1e202ef42a8e831c29f8f287f85e7a</x:v>
      </x:c>
    </x:row>
    <x:row r="456" ht="86" customHeight="1">
      <x:c r="A456" s="4" t="str">
        <x:v>HDL-040</x:v>
      </x:c>
      <x:c r="B456" s="19" t="str">
        <x:v>Pending</x:v>
      </x:c>
      <x:c r="C456" s="4" t="str">
        <x:v>P1</x:v>
      </x:c>
      <x:c r="D456" s="4" t="str">
        <x:v>hdlBits</x:v>
      </x:c>
      <x:c r="E456" s="4" t="str">
        <x:v>Arithmetic</x:v>
      </x:c>
      <x:c r="F456" s="4" t="str">
        <x:v>Arithmetic, carry/borrow and width</x:v>
      </x:c>
      <x:c r="G456" s="4" t="str">
        <x:v>a, b, cin, cout, sum</x:v>
      </x:c>
      <x:c r="H456" s="4" t="str">
        <x:v>Exercise a, b, cin at zero, one, maximum, alternating patterns and long carry/borrow chains. Exhaust all combinations for small widths; include both carry-in/subtract settings when present.</x:v>
      </x:c>
      <x:c r="I456" s="4" t="str">
        <x:v>Compute the integer arithmetic independently, then apply the declared result width. Check every cout, sum bit including carry, borrow or signed overflow where exposed. Carry-out and signed overflow are different.  Source mapping: cout = carry[100:1].</x:v>
      </x:c>
      <x:c r="J456" s="17"/>
      <x:c r="K456" s="24"/>
      <x:c r="L456" s="17"/>
      <x:c r="M456" s="17" t="str">
        <x:v>Compile this exercise separately because many files declare top_module. Use the original exercise statement as an independent oracle; helper stubs establish elaboration only.</x:v>
      </x:c>
      <x:c r="N456" s="4" t="str">
        <x:v>HDLBits Attempt 1/study/solutions/Day 02/040-adder100i.sv</x:v>
      </x:c>
      <x:c r="O456" s="25" t="str">
        <x:v>https://github.com/kapiltrip/hdlBits/blob/fc3f2b993a1e202ef42a8e831c29f8f287f85e7a/HDLBits%20Attempt%201/study/solutions/Day%2002/040-adder100i.sv</x:v>
      </x:c>
      <x:c r="P456" s="4" t="str">
        <x:f>IF(B456="Done",IF(OR(J456="",K456="",L456=""),"Add run evidence","Recorded"),IF(OR(B456="Blocked",B456="N/A"),IF(M456="","Add reason","Reason recorded"),""))</x:f>
      </x:c>
      <x:c r="Q456" s="4" t="str">
        <x:v>fc3f2b993a1e202ef42a8e831c29f8f287f85e7a</x:v>
      </x:c>
    </x:row>
    <x:row r="457" ht="86" customHeight="1">
      <x:c r="A457" s="15" t="str">
        <x:v>HDL-041</x:v>
      </x:c>
      <x:c r="B457" s="19" t="str">
        <x:v>Pending</x:v>
      </x:c>
      <x:c r="C457" s="15" t="str">
        <x:v>P1</x:v>
      </x:c>
      <x:c r="D457" s="15" t="str">
        <x:v>hdlBits</x:v>
      </x:c>
      <x:c r="E457" s="15" t="str">
        <x:v>Combinational logic</x:v>
      </x:c>
      <x:c r="F457" s="15" t="str">
        <x:v>Input combinations and output mapping</x:v>
      </x:c>
      <x:c r="G457" s="15" t="str">
        <x:v>in, out</x:v>
      </x:c>
      <x:c r="H457" s="15" t="str">
        <x:v>Drive in through binary combinations when small; for vectors use zero, all ones, alternating bits and walking one/zero. Toggle one input at a time and include rapid changes after a previous nonzero result.</x:v>
      </x:c>
      <x:c r="I457" s="15" t="str">
        <x:v>Check out against an independently written truth table. Combinational results must settle without a clock or stale retained values. Source mapping: out = in.</x:v>
      </x:c>
      <x:c r="J457" s="17"/>
      <x:c r="K457" s="24"/>
      <x:c r="L457" s="17"/>
      <x:c r="M457" s="17" t="str">
        <x:v>Compile this exercise separately because many files declare top_module. Use the original exercise statement as an independent oracle; helper stubs establish elaboration only.</x:v>
      </x:c>
      <x:c r="N457" s="15" t="str">
        <x:v>HDLBits Attempt 1/study/solutions/Day 02/042-exams__m2014_q4h.sv</x:v>
      </x:c>
      <x:c r="O457" s="26" t="str">
        <x:v>https://github.com/kapiltrip/hdlBits/blob/fc3f2b993a1e202ef42a8e831c29f8f287f85e7a/HDLBits%20Attempt%201/study/solutions/Day%2002/042-exams__m2014_q4h.sv</x:v>
      </x:c>
      <x:c r="P457" s="15" t="str">
        <x:f>IF(B457="Done",IF(OR(J457="",K457="",L457=""),"Add run evidence","Recorded"),IF(OR(B457="Blocked",B457="N/A"),IF(M457="","Add reason","Reason recorded"),""))</x:f>
      </x:c>
      <x:c r="Q457" s="15" t="str">
        <x:v>fc3f2b993a1e202ef42a8e831c29f8f287f85e7a</x:v>
      </x:c>
    </x:row>
    <x:row r="458" ht="86" customHeight="1">
      <x:c r="A458" s="4" t="str">
        <x:v>HDL-042</x:v>
      </x:c>
      <x:c r="B458" s="19" t="str">
        <x:v>Pending</x:v>
      </x:c>
      <x:c r="C458" s="4" t="str">
        <x:v>P1</x:v>
      </x:c>
      <x:c r="D458" s="4" t="str">
        <x:v>hdlBits</x:v>
      </x:c>
      <x:c r="E458" s="4" t="str">
        <x:v>Combinational logic</x:v>
      </x:c>
      <x:c r="F458" s="4" t="str">
        <x:v>Input combinations and output mapping</x:v>
      </x:c>
      <x:c r="G458" s="4" t="str">
        <x:v>out</x:v>
      </x:c>
      <x:c r="H458" s="4" t="str">
        <x:v>Drive the declared controls through binary combinations when small; for vectors use zero, all ones, alternating bits and walking one/zero. Toggle one input at a time and include rapid changes after a previous nonzero result.</x:v>
      </x:c>
      <x:c r="I458" s="4" t="str">
        <x:v>Check out against an independently written truth table. Combinational results must settle without a clock or stale retained values. Source mapping: out = 1'b0.</x:v>
      </x:c>
      <x:c r="J458" s="17"/>
      <x:c r="K458" s="24"/>
      <x:c r="L458" s="17"/>
      <x:c r="M458" s="17" t="str">
        <x:v>Compile this exercise separately because many files declare top_module. Use the original exercise statement as an independent oracle; helper stubs establish elaboration only.</x:v>
      </x:c>
      <x:c r="N458" s="4" t="str">
        <x:v>HDLBits Attempt 1/study/solutions/Day 02/043-exams__m2014_q4i.sv</x:v>
      </x:c>
      <x:c r="O458" s="25" t="str">
        <x:v>https://github.com/kapiltrip/hdlBits/blob/fc3f2b993a1e202ef42a8e831c29f8f287f85e7a/HDLBits%20Attempt%201/study/solutions/Day%2002/043-exams__m2014_q4i.sv</x:v>
      </x:c>
      <x:c r="P458" s="4" t="str">
        <x:f>IF(B458="Done",IF(OR(J458="",K458="",L458=""),"Add run evidence","Recorded"),IF(OR(B458="Blocked",B458="N/A"),IF(M458="","Add reason","Reason recorded"),""))</x:f>
      </x:c>
      <x:c r="Q458" s="4" t="str">
        <x:v>fc3f2b993a1e202ef42a8e831c29f8f287f85e7a</x:v>
      </x:c>
    </x:row>
    <x:row r="459" ht="86" customHeight="1">
      <x:c r="A459" s="15" t="str">
        <x:v>HDL-043</x:v>
      </x:c>
      <x:c r="B459" s="19" t="str">
        <x:v>Pending</x:v>
      </x:c>
      <x:c r="C459" s="15" t="str">
        <x:v>P1</x:v>
      </x:c>
      <x:c r="D459" s="15" t="str">
        <x:v>hdlBits</x:v>
      </x:c>
      <x:c r="E459" s="15" t="str">
        <x:v>Combinational logic</x:v>
      </x:c>
      <x:c r="F459" s="15" t="str">
        <x:v>Input combinations and output mapping</x:v>
      </x:c>
      <x:c r="G459" s="15" t="str">
        <x:v>in1, in2, out</x:v>
      </x:c>
      <x:c r="H459" s="15" t="str">
        <x:v>Drive in1, in2 through binary combinations when small; for vectors use zero, all ones, alternating bits and walking one/zero. Toggle one input at a time and include rapid changes after a previous nonzero result.</x:v>
      </x:c>
      <x:c r="I459" s="15" t="str">
        <x:v>Check out against an independently written truth table. Combinational results must settle without a clock or stale retained values.</x:v>
      </x:c>
      <x:c r="J459" s="17"/>
      <x:c r="K459" s="24"/>
      <x:c r="L459" s="17"/>
      <x:c r="M459" s="17" t="str">
        <x:v>Compile this exercise separately because many files declare top_module. Use the original exercise statement as an independent oracle; helper stubs establish elaboration only.</x:v>
      </x:c>
      <x:c r="N459" s="15" t="str">
        <x:v>HDLBits Attempt 1/study/solutions/Day 02/044-exams__m2014_q4e.sv</x:v>
      </x:c>
      <x:c r="O459" s="26" t="str">
        <x:v>https://github.com/kapiltrip/hdlBits/blob/fc3f2b993a1e202ef42a8e831c29f8f287f85e7a/HDLBits%20Attempt%201/study/solutions/Day%2002/044-exams__m2014_q4e.sv</x:v>
      </x:c>
      <x:c r="P459" s="15" t="str">
        <x:f>IF(B459="Done",IF(OR(J459="",K459="",L459=""),"Add run evidence","Recorded"),IF(OR(B459="Blocked",B459="N/A"),IF(M459="","Add reason","Reason recorded"),""))</x:f>
      </x:c>
      <x:c r="Q459" s="15" t="str">
        <x:v>fc3f2b993a1e202ef42a8e831c29f8f287f85e7a</x:v>
      </x:c>
    </x:row>
    <x:row r="460" ht="86" customHeight="1">
      <x:c r="A460" s="4" t="str">
        <x:v>HDL-044</x:v>
      </x:c>
      <x:c r="B460" s="19" t="str">
        <x:v>Pending</x:v>
      </x:c>
      <x:c r="C460" s="4" t="str">
        <x:v>P1</x:v>
      </x:c>
      <x:c r="D460" s="4" t="str">
        <x:v>hdlBits</x:v>
      </x:c>
      <x:c r="E460" s="4" t="str">
        <x:v>Combinational logic</x:v>
      </x:c>
      <x:c r="F460" s="4" t="str">
        <x:v>Input combinations and output mapping</x:v>
      </x:c>
      <x:c r="G460" s="4" t="str">
        <x:v>in1, in2, out</x:v>
      </x:c>
      <x:c r="H460" s="4" t="str">
        <x:v>Drive in1, in2 through binary combinations when small; for vectors use zero, all ones, alternating bits and walking one/zero. Toggle one input at a time and include rapid changes after a previous nonzero result.</x:v>
      </x:c>
      <x:c r="I460" s="4" t="str">
        <x:v>Check out against an independently written truth table. Combinational results must settle without a clock or stale retained values.</x:v>
      </x:c>
      <x:c r="J460" s="17"/>
      <x:c r="K460" s="24"/>
      <x:c r="L460" s="17"/>
      <x:c r="M460" s="17" t="str">
        <x:v>Compile this exercise separately because many files declare top_module. Use the original exercise statement as an independent oracle; helper stubs establish elaboration only.</x:v>
      </x:c>
      <x:c r="N460" s="4" t="str">
        <x:v>HDLBits Attempt 1/study/solutions/Day 02/045-exams__m2014_q4f.sv</x:v>
      </x:c>
      <x:c r="O460" s="25" t="str">
        <x:v>https://github.com/kapiltrip/hdlBits/blob/fc3f2b993a1e202ef42a8e831c29f8f287f85e7a/HDLBits%20Attempt%201/study/solutions/Day%2002/045-exams__m2014_q4f.sv</x:v>
      </x:c>
      <x:c r="P460" s="4" t="str">
        <x:f>IF(B460="Done",IF(OR(J460="",K460="",L460=""),"Add run evidence","Recorded"),IF(OR(B460="Blocked",B460="N/A"),IF(M460="","Add reason","Reason recorded"),""))</x:f>
      </x:c>
      <x:c r="Q460" s="4" t="str">
        <x:v>fc3f2b993a1e202ef42a8e831c29f8f287f85e7a</x:v>
      </x:c>
    </x:row>
    <x:row r="461" ht="86" customHeight="1">
      <x:c r="A461" s="15" t="str">
        <x:v>HDL-045</x:v>
      </x:c>
      <x:c r="B461" s="19" t="str">
        <x:v>Pending</x:v>
      </x:c>
      <x:c r="C461" s="15" t="str">
        <x:v>P1</x:v>
      </x:c>
      <x:c r="D461" s="15" t="str">
        <x:v>hdlBits</x:v>
      </x:c>
      <x:c r="E461" s="15" t="str">
        <x:v>Combinational logic</x:v>
      </x:c>
      <x:c r="F461" s="15" t="str">
        <x:v>Input combinations and output mapping</x:v>
      </x:c>
      <x:c r="G461" s="15" t="str">
        <x:v>in1, in2, in3, out</x:v>
      </x:c>
      <x:c r="H461" s="15" t="str">
        <x:v>Drive in1, in2, in3 through binary combinations when small; for vectors use zero, all ones, alternating bits and walking one/zero. Toggle one input at a time and include rapid changes after a previous nonzero result.</x:v>
      </x:c>
      <x:c r="I461" s="15" t="str">
        <x:v>Check out against an independently written truth table. Combinational results must settle without a clock or stale retained values.</x:v>
      </x:c>
      <x:c r="J461" s="17"/>
      <x:c r="K461" s="24"/>
      <x:c r="L461" s="17"/>
      <x:c r="M461" s="17" t="str">
        <x:v>Compile this exercise separately because many files declare top_module. Use the original exercise statement as an independent oracle; helper stubs establish elaboration only.</x:v>
      </x:c>
      <x:c r="N461" s="15" t="str">
        <x:v>HDLBits Attempt 1/study/solutions/Day 02/046-exams__m2014_q4g.sv</x:v>
      </x:c>
      <x:c r="O461" s="26" t="str">
        <x:v>https://github.com/kapiltrip/hdlBits/blob/fc3f2b993a1e202ef42a8e831c29f8f287f85e7a/HDLBits%20Attempt%201/study/solutions/Day%2002/046-exams__m2014_q4g.sv</x:v>
      </x:c>
      <x:c r="P461" s="15" t="str">
        <x:f>IF(B461="Done",IF(OR(J461="",K461="",L461=""),"Add run evidence","Recorded"),IF(OR(B461="Blocked",B461="N/A"),IF(M461="","Add reason","Reason recorded"),""))</x:f>
      </x:c>
      <x:c r="Q461" s="15" t="str">
        <x:v>fc3f2b993a1e202ef42a8e831c29f8f287f85e7a</x:v>
      </x:c>
    </x:row>
    <x:row r="462" ht="86" customHeight="1">
      <x:c r="A462" s="4" t="str">
        <x:v>HDL-046</x:v>
      </x:c>
      <x:c r="B462" s="19" t="str">
        <x:v>Pending</x:v>
      </x:c>
      <x:c r="C462" s="4" t="str">
        <x:v>P1</x:v>
      </x:c>
      <x:c r="D462" s="4" t="str">
        <x:v>hdlBits</x:v>
      </x:c>
      <x:c r="E462" s="4" t="str">
        <x:v>Arithmetic</x:v>
      </x:c>
      <x:c r="F462" s="4" t="str">
        <x:v>Arithmetic, carry/borrow and width</x:v>
      </x:c>
      <x:c r="G462" s="4" t="str">
        <x:v>a, b, cin, cout, sum</x:v>
      </x:c>
      <x:c r="H462" s="4" t="str">
        <x:v>Exercise a, b, cin at zero, one, maximum, alternating patterns and long carry/borrow chains. Exhaust all combinations for small widths; include both carry-in/subtract settings when present.</x:v>
      </x:c>
      <x:c r="I462" s="4" t="str">
        <x:v>Compute the integer arithmetic independently, then apply the declared result width. Check every cout, sum bit including carry, borrow or signed overflow where exposed. Carry-out and signed overflow are different. </x:v>
      </x:c>
      <x:c r="J462" s="17"/>
      <x:c r="K462" s="24"/>
      <x:c r="L462" s="17"/>
      <x:c r="M462" s="17" t="str">
        <x:v>Compile this exercise separately because many files declare top_module. Use the original exercise statement as an independent oracle; helper stubs establish elaboration only.</x:v>
      </x:c>
      <x:c r="N462" s="4" t="str">
        <x:v>HDLBits Attempt 1/study/solutions/Day 02/065-fadd.sv</x:v>
      </x:c>
      <x:c r="O462" s="25" t="str">
        <x:v>https://github.com/kapiltrip/hdlBits/blob/fc3f2b993a1e202ef42a8e831c29f8f287f85e7a/HDLBits%20Attempt%201/study/solutions/Day%2002/065-fadd.sv</x:v>
      </x:c>
      <x:c r="P462" s="4" t="str">
        <x:f>IF(B462="Done",IF(OR(J462="",K462="",L462=""),"Add run evidence","Recorded"),IF(OR(B462="Blocked",B462="N/A"),IF(M462="","Add reason","Reason recorded"),""))</x:f>
      </x:c>
      <x:c r="Q462" s="4" t="str">
        <x:v>fc3f2b993a1e202ef42a8e831c29f8f287f85e7a</x:v>
      </x:c>
    </x:row>
    <x:row r="463" ht="86" customHeight="1">
      <x:c r="A463" s="15" t="str">
        <x:v>HDL-047</x:v>
      </x:c>
      <x:c r="B463" s="23" t="str">
        <x:v>Blocked</x:v>
      </x:c>
      <x:c r="C463" s="21" t="str">
        <x:v>P0</x:v>
      </x:c>
      <x:c r="D463" s="15" t="str">
        <x:v>hdlBits</x:v>
      </x:c>
      <x:c r="E463" s="15" t="str">
        <x:v>Implementation prerequisite</x:v>
      </x:c>
      <x:c r="F463" s="15" t="str">
        <x:v>Define and implement top_module</x:v>
      </x:c>
      <x:c r="G463" s="15" t="str">
        <x:v>a, b, cin, cout, sum</x:v>
      </x:c>
      <x:c r="H463" s="15" t="str">
        <x:v>Complete the existing module/interface and write the intended port-level contract before attempting functional vectors. This plan does not implement it.</x:v>
      </x:c>
      <x:c r="I463" s="15" t="str">
        <x:v>A named module elaborates with driven outputs and a defined function. Current source is empty or malformed, so functional pass criteria cannot be inferred safely.</x:v>
      </x:c>
      <x:c r="J463" s="17"/>
      <x:c r="K463" s="24"/>
      <x:c r="L463" s="17"/>
      <x:c r="M463" s="17" t="str">
        <x:v>Existing stub; not a passing design.</x:v>
      </x:c>
      <x:c r="N463" s="15" t="str">
        <x:v>HDLBits Attempt 1/study/solutions/Day 03/041-bcdadd100.sv</x:v>
      </x:c>
      <x:c r="O463" s="26" t="str">
        <x:v>https://github.com/kapiltrip/hdlBits/blob/fc3f2b993a1e202ef42a8e831c29f8f287f85e7a/HDLBits%20Attempt%201/study/solutions/Day%2003/041-bcdadd100.sv</x:v>
      </x:c>
      <x:c r="P463" s="15" t="str">
        <x:f>IF(B463="Done",IF(OR(J463="",K463="",L463=""),"Add run evidence","Recorded"),IF(OR(B463="Blocked",B463="N/A"),IF(M463="","Add reason","Reason recorded"),""))</x:f>
        <x:v>Reason recorded</x:v>
      </x:c>
      <x:c r="Q463" s="15" t="str">
        <x:v>fc3f2b993a1e202ef42a8e831c29f8f287f85e7a</x:v>
      </x:c>
    </x:row>
    <x:row r="464" ht="86" customHeight="1">
      <x:c r="A464" s="4" t="str">
        <x:v>HDL-048</x:v>
      </x:c>
      <x:c r="B464" s="19" t="str">
        <x:v>Pending</x:v>
      </x:c>
      <x:c r="C464" s="4" t="str">
        <x:v>P1</x:v>
      </x:c>
      <x:c r="D464" s="4" t="str">
        <x:v>hdlBits</x:v>
      </x:c>
      <x:c r="E464" s="4" t="str">
        <x:v>Combinational logic</x:v>
      </x:c>
      <x:c r="F464" s="4" t="str">
        <x:v>Input combinations and output mapping</x:v>
      </x:c>
      <x:c r="G464" s="4" t="str">
        <x:v>a, b, out_and, out_or, out_xor, out_nand, out_nor, out_xnor, out_anotb</x:v>
      </x:c>
      <x:c r="H464" s="4" t="str">
        <x:v>Drive a, b through binary combinations when small; for vectors use zero, all ones, alternating bits and walking one/zero. Toggle one input at a time and include rapid changes after a previous nonzero result.</x:v>
      </x:c>
      <x:c r="I464" s="4" t="str">
        <x:v>Check out_and, out_or, out_xor, out_nand, out_nor, out_xnor, out_anotb against an independently written truth table. Combinational results must settle without a clock or stale retained values. Source mapping: out_and = a&amp;b; out_or = a|b; out_xor = a^b; out_nand = ~(a&amp;b); out_nor = ~(a|b); out_xnor = ~(a^b); out_anotb = a &amp; ~(b).</x:v>
      </x:c>
      <x:c r="J464" s="17"/>
      <x:c r="K464" s="24"/>
      <x:c r="L464" s="17"/>
      <x:c r="M464" s="17" t="str">
        <x:v>Compile this exercise separately because many files declare top_module. Use the original exercise statement as an independent oracle; helper stubs establish elaboration only.</x:v>
      </x:c>
      <x:c r="N464" s="4" t="str">
        <x:v>HDLBits Attempt 1/study/solutions/Day 03/047-gates.sv</x:v>
      </x:c>
      <x:c r="O464" s="25" t="str">
        <x:v>https://github.com/kapiltrip/hdlBits/blob/fc3f2b993a1e202ef42a8e831c29f8f287f85e7a/HDLBits%20Attempt%201/study/solutions/Day%2003/047-gates.sv</x:v>
      </x:c>
      <x:c r="P464" s="4" t="str">
        <x:f>IF(B464="Done",IF(OR(J464="",K464="",L464=""),"Add run evidence","Recorded"),IF(OR(B464="Blocked",B464="N/A"),IF(M464="","Add reason","Reason recorded"),""))</x:f>
      </x:c>
      <x:c r="Q464" s="4" t="str">
        <x:v>fc3f2b993a1e202ef42a8e831c29f8f287f85e7a</x:v>
      </x:c>
    </x:row>
    <x:row r="465" ht="86" customHeight="1">
      <x:c r="A465" s="15" t="str">
        <x:v>HDL-049</x:v>
      </x:c>
      <x:c r="B465" s="23" t="str">
        <x:v>Blocked</x:v>
      </x:c>
      <x:c r="C465" s="21" t="str">
        <x:v>P0</x:v>
      </x:c>
      <x:c r="D465" s="15" t="str">
        <x:v>hdlBits</x:v>
      </x:c>
      <x:c r="E465" s="15" t="str">
        <x:v>Implementation prerequisite</x:v>
      </x:c>
      <x:c r="F465" s="15" t="str">
        <x:v>Define and implement top_module</x:v>
      </x:c>
      <x:c r="G465" s="15" t="str">
        <x:v>p1a, p1b, p1c, p1d, p2a, p2b, p2c, p2d, p1y, p2y</x:v>
      </x:c>
      <x:c r="H465" s="15" t="str">
        <x:v>Complete the existing module/interface and write the intended port-level contract before attempting functional vectors. This plan does not implement it.</x:v>
      </x:c>
      <x:c r="I465" s="15" t="str">
        <x:v>A named module elaborates with driven outputs and a defined function. Current source is empty or malformed, so functional pass criteria cannot be inferred safely.</x:v>
      </x:c>
      <x:c r="J465" s="17"/>
      <x:c r="K465" s="24"/>
      <x:c r="L465" s="17"/>
      <x:c r="M465" s="17" t="str">
        <x:v>Existing stub; not a passing design.</x:v>
      </x:c>
      <x:c r="N465" s="15" t="str">
        <x:v>HDLBits Attempt 1/study/solutions/Day 03/048-7420.sv</x:v>
      </x:c>
      <x:c r="O465" s="26" t="str">
        <x:v>https://github.com/kapiltrip/hdlBits/blob/fc3f2b993a1e202ef42a8e831c29f8f287f85e7a/HDLBits%20Attempt%201/study/solutions/Day%2003/048-7420.sv</x:v>
      </x:c>
      <x:c r="P465" s="15" t="str">
        <x:f>IF(B465="Done",IF(OR(J465="",K465="",L465=""),"Add run evidence","Recorded"),IF(OR(B465="Blocked",B465="N/A"),IF(M465="","Add reason","Reason recorded"),""))</x:f>
        <x:v>Reason recorded</x:v>
      </x:c>
      <x:c r="Q465" s="15" t="str">
        <x:v>fc3f2b993a1e202ef42a8e831c29f8f287f85e7a</x:v>
      </x:c>
    </x:row>
    <x:row r="466" ht="86" customHeight="1">
      <x:c r="A466" s="4" t="str">
        <x:v>HDL-050</x:v>
      </x:c>
      <x:c r="B466" s="23" t="str">
        <x:v>Blocked</x:v>
      </x:c>
      <x:c r="C466" s="20" t="str">
        <x:v>P0</x:v>
      </x:c>
      <x:c r="D466" s="4" t="str">
        <x:v>hdlBits</x:v>
      </x:c>
      <x:c r="E466" s="4" t="str">
        <x:v>Implementation prerequisite</x:v>
      </x:c>
      <x:c r="F466" s="4" t="str">
        <x:v>Define and implement top_module</x:v>
      </x:c>
      <x:c r="G466" s="4" t="str">
        <x:v>x3, x2, x1, f</x:v>
      </x:c>
      <x:c r="H466" s="4" t="str">
        <x:v>Complete the existing module/interface and write the intended port-level contract before attempting functional vectors. This plan does not implement it.</x:v>
      </x:c>
      <x:c r="I466" s="4" t="str">
        <x:v>A named module elaborates with driven outputs and a defined function. Current source is empty or malformed, so functional pass criteria cannot be inferred safely.</x:v>
      </x:c>
      <x:c r="J466" s="17"/>
      <x:c r="K466" s="24"/>
      <x:c r="L466" s="17"/>
      <x:c r="M466" s="17" t="str">
        <x:v>Existing stub; not a passing design.</x:v>
      </x:c>
      <x:c r="N466" s="4" t="str">
        <x:v>HDLBits Attempt 1/study/solutions/Day 03/049-truthtable1.sv</x:v>
      </x:c>
      <x:c r="O466" s="25" t="str">
        <x:v>https://github.com/kapiltrip/hdlBits/blob/fc3f2b993a1e202ef42a8e831c29f8f287f85e7a/HDLBits%20Attempt%201/study/solutions/Day%2003/049-truthtable1.sv</x:v>
      </x:c>
      <x:c r="P466" s="4" t="str">
        <x:f>IF(B466="Done",IF(OR(J466="",K466="",L466=""),"Add run evidence","Recorded"),IF(OR(B466="Blocked",B466="N/A"),IF(M466="","Add reason","Reason recorded"),""))</x:f>
        <x:v>Reason recorded</x:v>
      </x:c>
      <x:c r="Q466" s="4" t="str">
        <x:v>fc3f2b993a1e202ef42a8e831c29f8f287f85e7a</x:v>
      </x:c>
    </x:row>
    <x:row r="467" ht="86" customHeight="1">
      <x:c r="A467" s="15" t="str">
        <x:v>HDL-051</x:v>
      </x:c>
      <x:c r="B467" s="23" t="str">
        <x:v>Blocked</x:v>
      </x:c>
      <x:c r="C467" s="21" t="str">
        <x:v>P0</x:v>
      </x:c>
      <x:c r="D467" s="15" t="str">
        <x:v>hdlBits</x:v>
      </x:c>
      <x:c r="E467" s="15" t="str">
        <x:v>Implementation prerequisite</x:v>
      </x:c>
      <x:c r="F467" s="15" t="str">
        <x:v>Define and implement top_module</x:v>
      </x:c>
      <x:c r="G467" s="15" t="str">
        <x:v>A, B, z</x:v>
      </x:c>
      <x:c r="H467" s="15" t="str">
        <x:v>Complete the existing module/interface and write the intended port-level contract before attempting functional vectors. This plan does not implement it.</x:v>
      </x:c>
      <x:c r="I467" s="15" t="str">
        <x:v>A named module elaborates with driven outputs and a defined function. Current source is empty or malformed, so functional pass criteria cannot be inferred safely.</x:v>
      </x:c>
      <x:c r="J467" s="17"/>
      <x:c r="K467" s="24"/>
      <x:c r="L467" s="17"/>
      <x:c r="M467" s="17" t="str">
        <x:v>Existing stub; not a passing design.</x:v>
      </x:c>
      <x:c r="N467" s="15" t="str">
        <x:v>HDLBits Attempt 1/study/solutions/Day 03/050-mt2015_eq2.sv</x:v>
      </x:c>
      <x:c r="O467" s="26" t="str">
        <x:v>https://github.com/kapiltrip/hdlBits/blob/fc3f2b993a1e202ef42a8e831c29f8f287f85e7a/HDLBits%20Attempt%201/study/solutions/Day%2003/050-mt2015_eq2.sv</x:v>
      </x:c>
      <x:c r="P467" s="15" t="str">
        <x:f>IF(B467="Done",IF(OR(J467="",K467="",L467=""),"Add run evidence","Recorded"),IF(OR(B467="Blocked",B467="N/A"),IF(M467="","Add reason","Reason recorded"),""))</x:f>
        <x:v>Reason recorded</x:v>
      </x:c>
      <x:c r="Q467" s="15" t="str">
        <x:v>fc3f2b993a1e202ef42a8e831c29f8f287f85e7a</x:v>
      </x:c>
    </x:row>
    <x:row r="468" ht="86" customHeight="1">
      <x:c r="A468" s="4" t="str">
        <x:v>HDL-052</x:v>
      </x:c>
      <x:c r="B468" s="19" t="str">
        <x:v>Pending</x:v>
      </x:c>
      <x:c r="C468" s="4" t="str">
        <x:v>P1</x:v>
      </x:c>
      <x:c r="D468" s="4" t="str">
        <x:v>hdlBits</x:v>
      </x:c>
      <x:c r="E468" s="4" t="str">
        <x:v>Combinational logic</x:v>
      </x:c>
      <x:c r="F468" s="4" t="str">
        <x:v>Input combinations and output mapping</x:v>
      </x:c>
      <x:c r="G468" s="4" t="str">
        <x:v>x, y, z</x:v>
      </x:c>
      <x:c r="H468" s="4" t="str">
        <x:v>Drive x, y through binary combinations when small; for vectors use zero, all ones, alternating bits and walking one/zero. Toggle one input at a time and include rapid changes after a previous nonzero result.</x:v>
      </x:c>
      <x:c r="I468" s="4" t="str">
        <x:v>Check z against an independently written truth table. Combinational results must settle without a clock or stale retained values.</x:v>
      </x:c>
      <x:c r="J468" s="17"/>
      <x:c r="K468" s="24"/>
      <x:c r="L468" s="17"/>
      <x:c r="M468" s="17" t="str">
        <x:v>Compile this exercise separately because many files declare top_module. Use the original exercise statement as an independent oracle; helper stubs establish elaboration only.</x:v>
      </x:c>
      <x:c r="N468" s="4" t="str">
        <x:v>HDLBits Attempt 1/study/solutions/Day 03/051-mt2015_q4a.sv</x:v>
      </x:c>
      <x:c r="O468" s="25" t="str">
        <x:v>https://github.com/kapiltrip/hdlBits/blob/fc3f2b993a1e202ef42a8e831c29f8f287f85e7a/HDLBits%20Attempt%201/study/solutions/Day%2003/051-mt2015_q4a.sv</x:v>
      </x:c>
      <x:c r="P468" s="4" t="str">
        <x:f>IF(B468="Done",IF(OR(J468="",K468="",L468=""),"Add run evidence","Recorded"),IF(OR(B468="Blocked",B468="N/A"),IF(M468="","Add reason","Reason recorded"),""))</x:f>
      </x:c>
      <x:c r="Q468" s="4" t="str">
        <x:v>fc3f2b993a1e202ef42a8e831c29f8f287f85e7a</x:v>
      </x:c>
    </x:row>
    <x:row r="469" ht="86" customHeight="1">
      <x:c r="A469" s="15" t="str">
        <x:v>HDL-053</x:v>
      </x:c>
      <x:c r="B469" s="19" t="str">
        <x:v>Pending</x:v>
      </x:c>
      <x:c r="C469" s="15" t="str">
        <x:v>P1</x:v>
      </x:c>
      <x:c r="D469" s="15" t="str">
        <x:v>hdlBits</x:v>
      </x:c>
      <x:c r="E469" s="15" t="str">
        <x:v>Combinational logic</x:v>
      </x:c>
      <x:c r="F469" s="15" t="str">
        <x:v>Input combinations and output mapping</x:v>
      </x:c>
      <x:c r="G469" s="15" t="str">
        <x:v>x, y, z</x:v>
      </x:c>
      <x:c r="H469" s="15" t="str">
        <x:v>Drive x, y through binary combinations when small; for vectors use zero, all ones, alternating bits and walking one/zero. Toggle one input at a time and include rapid changes after a previous nonzero result.</x:v>
      </x:c>
      <x:c r="I469" s="15" t="str">
        <x:v>Check z against an independently written truth table. Combinational results must settle without a clock or stale retained values.</x:v>
      </x:c>
      <x:c r="J469" s="17"/>
      <x:c r="K469" s="24"/>
      <x:c r="L469" s="17"/>
      <x:c r="M469" s="17" t="str">
        <x:v>Compile this exercise separately because many files declare top_module. Use the original exercise statement as an independent oracle; helper stubs establish elaboration only.</x:v>
      </x:c>
      <x:c r="N469" s="15" t="str">
        <x:v>HDLBits Attempt 1/study/solutions/Day 03/052-mt2015_q4b.sv</x:v>
      </x:c>
      <x:c r="O469" s="26" t="str">
        <x:v>https://github.com/kapiltrip/hdlBits/blob/fc3f2b993a1e202ef42a8e831c29f8f287f85e7a/HDLBits%20Attempt%201/study/solutions/Day%2003/052-mt2015_q4b.sv</x:v>
      </x:c>
      <x:c r="P469" s="15" t="str">
        <x:f>IF(B469="Done",IF(OR(J469="",K469="",L469=""),"Add run evidence","Recorded"),IF(OR(B469="Blocked",B469="N/A"),IF(M469="","Add reason","Reason recorded"),""))</x:f>
      </x:c>
      <x:c r="Q469" s="15" t="str">
        <x:v>fc3f2b993a1e202ef42a8e831c29f8f287f85e7a</x:v>
      </x:c>
    </x:row>
    <x:row r="470" ht="86" customHeight="1">
      <x:c r="A470" s="4" t="str">
        <x:v>HDL-054</x:v>
      </x:c>
      <x:c r="B470" s="19" t="str">
        <x:v>Pending</x:v>
      </x:c>
      <x:c r="C470" s="4" t="str">
        <x:v>P1</x:v>
      </x:c>
      <x:c r="D470" s="4" t="str">
        <x:v>hdlBits</x:v>
      </x:c>
      <x:c r="E470" s="4" t="str">
        <x:v>Combinational logic</x:v>
      </x:c>
      <x:c r="F470" s="4" t="str">
        <x:v>Input combinations and output mapping</x:v>
      </x:c>
      <x:c r="G470" s="4" t="str">
        <x:v>x, y, z</x:v>
      </x:c>
      <x:c r="H470" s="4" t="str">
        <x:v>Drive x, y through binary combinations when small; for vectors use zero, all ones, alternating bits and walking one/zero. Toggle one input at a time and include rapid changes after a previous nonzero result.</x:v>
      </x:c>
      <x:c r="I470" s="4" t="str">
        <x:v>Check z against an independently written truth table. Combinational results must settle without a clock or stale retained values. Source mapping: z = (x ^ y) &amp; x; z = ~(x ^ y).</x:v>
      </x:c>
      <x:c r="J470" s="17"/>
      <x:c r="K470" s="24"/>
      <x:c r="L470" s="17"/>
      <x:c r="M470" s="17" t="str">
        <x:v>Compile this exercise separately because many files declare top_module. Use the original exercise statement as an independent oracle; helper stubs establish elaboration only.</x:v>
      </x:c>
      <x:c r="N470" s="4" t="str">
        <x:v>HDLBits Attempt 1/study/solutions/Day 03/053-mt2015_q4.sv</x:v>
      </x:c>
      <x:c r="O470" s="25" t="str">
        <x:v>https://github.com/kapiltrip/hdlBits/blob/fc3f2b993a1e202ef42a8e831c29f8f287f85e7a/HDLBits%20Attempt%201/study/solutions/Day%2003/053-mt2015_q4.sv</x:v>
      </x:c>
      <x:c r="P470" s="4" t="str">
        <x:f>IF(B470="Done",IF(OR(J470="",K470="",L470=""),"Add run evidence","Recorded"),IF(OR(B470="Blocked",B470="N/A"),IF(M470="","Add reason","Reason recorded"),""))</x:f>
      </x:c>
      <x:c r="Q470" s="4" t="str">
        <x:v>fc3f2b993a1e202ef42a8e831c29f8f287f85e7a</x:v>
      </x:c>
    </x:row>
    <x:row r="471" ht="86" customHeight="1">
      <x:c r="A471" s="15" t="str">
        <x:v>HDL-055</x:v>
      </x:c>
      <x:c r="B471" s="19" t="str">
        <x:v>Pending</x:v>
      </x:c>
      <x:c r="C471" s="15" t="str">
        <x:v>P1</x:v>
      </x:c>
      <x:c r="D471" s="15" t="str">
        <x:v>hdlBits</x:v>
      </x:c>
      <x:c r="E471" s="15" t="str">
        <x:v>Combinational logic</x:v>
      </x:c>
      <x:c r="F471" s="15" t="str">
        <x:v>Input combinations and output mapping</x:v>
      </x:c>
      <x:c r="G471" s="15" t="str">
        <x:v>ring, vibrate_mode, ringer, motor</x:v>
      </x:c>
      <x:c r="H471" s="15" t="str">
        <x:v>Drive ring, vibrate_mode through binary combinations when small; for vectors use zero, all ones, alternating bits and walking one/zero. Toggle one input at a time and include rapid changes after a previous nonzero result.</x:v>
      </x:c>
      <x:c r="I471" s="15" t="str">
        <x:v>Check ringer, motor against an independently written truth table. Combinational results must settle without a clock or stale retained values. Source mapping: ringer = ring &amp; ~vibrate_mode; motor = ring &amp; vibrate_mode.</x:v>
      </x:c>
      <x:c r="J471" s="17"/>
      <x:c r="K471" s="24"/>
      <x:c r="L471" s="17"/>
      <x:c r="M471" s="17" t="str">
        <x:v>Compile this exercise separately because many files declare top_module. Use the original exercise statement as an independent oracle; helper stubs establish elaboration only.</x:v>
      </x:c>
      <x:c r="N471" s="15" t="str">
        <x:v>HDLBits Attempt 1/study/solutions/Day 03/054-ringer.sv</x:v>
      </x:c>
      <x:c r="O471" s="26" t="str">
        <x:v>https://github.com/kapiltrip/hdlBits/blob/fc3f2b993a1e202ef42a8e831c29f8f287f85e7a/HDLBits%20Attempt%201/study/solutions/Day%2003/054-ringer.sv</x:v>
      </x:c>
      <x:c r="P471" s="15" t="str">
        <x:f>IF(B471="Done",IF(OR(J471="",K471="",L471=""),"Add run evidence","Recorded"),IF(OR(B471="Blocked",B471="N/A"),IF(M471="","Add reason","Reason recorded"),""))</x:f>
      </x:c>
      <x:c r="Q471" s="15" t="str">
        <x:v>fc3f2b993a1e202ef42a8e831c29f8f287f85e7a</x:v>
      </x:c>
    </x:row>
    <x:row r="472" ht="86" customHeight="1">
      <x:c r="A472" s="4" t="str">
        <x:v>HDL-056</x:v>
      </x:c>
      <x:c r="B472" s="19" t="str">
        <x:v>Pending</x:v>
      </x:c>
      <x:c r="C472" s="4" t="str">
        <x:v>P1</x:v>
      </x:c>
      <x:c r="D472" s="4" t="str">
        <x:v>hdlBits</x:v>
      </x:c>
      <x:c r="E472" s="4" t="str">
        <x:v>Combinational logic</x:v>
      </x:c>
      <x:c r="F472" s="4" t="str">
        <x:v>Input combinations and output mapping</x:v>
      </x:c>
      <x:c r="G472" s="4" t="str">
        <x:v>too_cold, too_hot, mode, fan_on, heater, aircon, fan</x:v>
      </x:c>
      <x:c r="H472" s="4" t="str">
        <x:v>Drive too_cold, too_hot, mode, fan_on through binary combinations when small; for vectors use zero, all ones, alternating bits and walking one/zero. Toggle one input at a time and include rapid changes after a previous nonzero result.</x:v>
      </x:c>
      <x:c r="I472" s="4" t="str">
        <x:v>Check heater, aircon, fan against an independently written truth table. Combinational results must settle without a clock or stale retained values. Source mapping: heater = mode &amp; too_cold; aircon = ~mode &amp; too_hot; fan = fan_on | heater | aircon.</x:v>
      </x:c>
      <x:c r="J472" s="17"/>
      <x:c r="K472" s="24"/>
      <x:c r="L472" s="17"/>
      <x:c r="M472" s="17" t="str">
        <x:v>Compile this exercise separately because many files declare top_module. Use the original exercise statement as an independent oracle; helper stubs establish elaboration only.</x:v>
      </x:c>
      <x:c r="N472" s="4" t="str">
        <x:v>HDLBits Attempt 1/study/solutions/Day 03/055-thermostat.sv</x:v>
      </x:c>
      <x:c r="O472" s="25" t="str">
        <x:v>https://github.com/kapiltrip/hdlBits/blob/fc3f2b993a1e202ef42a8e831c29f8f287f85e7a/HDLBits%20Attempt%201/study/solutions/Day%2003/055-thermostat.sv</x:v>
      </x:c>
      <x:c r="P472" s="4" t="str">
        <x:f>IF(B472="Done",IF(OR(J472="",K472="",L472=""),"Add run evidence","Recorded"),IF(OR(B472="Blocked",B472="N/A"),IF(M472="","Add reason","Reason recorded"),""))</x:f>
      </x:c>
      <x:c r="Q472" s="4" t="str">
        <x:v>fc3f2b993a1e202ef42a8e831c29f8f287f85e7a</x:v>
      </x:c>
    </x:row>
    <x:row r="473" ht="86" customHeight="1">
      <x:c r="A473" s="15" t="str">
        <x:v>HDL-057</x:v>
      </x:c>
      <x:c r="B473" s="19" t="str">
        <x:v>Pending</x:v>
      </x:c>
      <x:c r="C473" s="15" t="str">
        <x:v>P1</x:v>
      </x:c>
      <x:c r="D473" s="15" t="str">
        <x:v>hdlBits</x:v>
      </x:c>
      <x:c r="E473" s="15" t="str">
        <x:v>Combinational logic</x:v>
      </x:c>
      <x:c r="F473" s="15" t="str">
        <x:v>Input combinations and output mapping</x:v>
      </x:c>
      <x:c r="G473" s="15" t="str">
        <x:v>in, out</x:v>
      </x:c>
      <x:c r="H473" s="15" t="str">
        <x:v>Drive in through binary combinations when small; for vectors use zero, all ones, alternating bits and walking one/zero. Toggle one input at a time and include rapid changes after a previous nonzero result.</x:v>
      </x:c>
      <x:c r="I473" s="15" t="str">
        <x:v>Check out against an independently written truth table. Combinational results must settle without a clock or stale retained values.</x:v>
      </x:c>
      <x:c r="J473" s="17"/>
      <x:c r="K473" s="24"/>
      <x:c r="L473" s="17"/>
      <x:c r="M473" s="17" t="str">
        <x:v>Compile this exercise separately because many files declare top_module. Use the original exercise statement as an independent oracle; helper stubs establish elaboration only.</x:v>
      </x:c>
      <x:c r="N473" s="15" t="str">
        <x:v>HDLBits Attempt 1/study/solutions/Day 03/056-popcount3.sv</x:v>
      </x:c>
      <x:c r="O473" s="26" t="str">
        <x:v>https://github.com/kapiltrip/hdlBits/blob/fc3f2b993a1e202ef42a8e831c29f8f287f85e7a/HDLBits%20Attempt%201/study/solutions/Day%2003/056-popcount3.sv</x:v>
      </x:c>
      <x:c r="P473" s="15" t="str">
        <x:f>IF(B473="Done",IF(OR(J473="",K473="",L473=""),"Add run evidence","Recorded"),IF(OR(B473="Blocked",B473="N/A"),IF(M473="","Add reason","Reason recorded"),""))</x:f>
      </x:c>
      <x:c r="Q473" s="15" t="str">
        <x:v>fc3f2b993a1e202ef42a8e831c29f8f287f85e7a</x:v>
      </x:c>
    </x:row>
    <x:row r="474" ht="86" customHeight="1">
      <x:c r="A474" s="4" t="str">
        <x:v>HDL-058</x:v>
      </x:c>
      <x:c r="B474" s="19" t="str">
        <x:v>Pending</x:v>
      </x:c>
      <x:c r="C474" s="4" t="str">
        <x:v>P1</x:v>
      </x:c>
      <x:c r="D474" s="4" t="str">
        <x:v>hdlBits</x:v>
      </x:c>
      <x:c r="E474" s="4" t="str">
        <x:v>Combinational logic</x:v>
      </x:c>
      <x:c r="F474" s="4" t="str">
        <x:v>Input combinations and output mapping</x:v>
      </x:c>
      <x:c r="G474" s="4" t="str">
        <x:v>in, out_both, out_any, out_different</x:v>
      </x:c>
      <x:c r="H474" s="4" t="str">
        <x:v>Drive in through binary combinations when small; for vectors use zero, all ones, alternating bits and walking one/zero. Toggle one input at a time and include rapid changes after a previous nonzero result.</x:v>
      </x:c>
      <x:c r="I474" s="4" t="str">
        <x:v>Check out_both, out_any, out_different against an independently written truth table. Combinational results must settle without a clock or stale retained values. Source mapping: out_both = in[3:1] &amp; in[2:0]; out_any = in[3:1] | in[2:0]; out_different = in^ {in[0],in[3:1]}.</x:v>
      </x:c>
      <x:c r="J474" s="17"/>
      <x:c r="K474" s="24"/>
      <x:c r="L474" s="17"/>
      <x:c r="M474" s="17" t="str">
        <x:v>Compile this exercise separately because many files declare top_module. Use the original exercise statement as an independent oracle; helper stubs establish elaboration only.</x:v>
      </x:c>
      <x:c r="N474" s="4" t="str">
        <x:v>HDLBits Attempt 1/study/solutions/Day 03/057-gatesv.sv</x:v>
      </x:c>
      <x:c r="O474" s="25" t="str">
        <x:v>https://github.com/kapiltrip/hdlBits/blob/fc3f2b993a1e202ef42a8e831c29f8f287f85e7a/HDLBits%20Attempt%201/study/solutions/Day%2003/057-gatesv.sv</x:v>
      </x:c>
      <x:c r="P474" s="4" t="str">
        <x:f>IF(B474="Done",IF(OR(J474="",K474="",L474=""),"Add run evidence","Recorded"),IF(OR(B474="Blocked",B474="N/A"),IF(M474="","Add reason","Reason recorded"),""))</x:f>
      </x:c>
      <x:c r="Q474" s="4" t="str">
        <x:v>fc3f2b993a1e202ef42a8e831c29f8f287f85e7a</x:v>
      </x:c>
    </x:row>
    <x:row r="475" ht="86" customHeight="1">
      <x:c r="A475" s="15" t="str">
        <x:v>HDL-059</x:v>
      </x:c>
      <x:c r="B475" s="23" t="str">
        <x:v>Blocked</x:v>
      </x:c>
      <x:c r="C475" s="21" t="str">
        <x:v>P0</x:v>
      </x:c>
      <x:c r="D475" s="15" t="str">
        <x:v>hdlBits</x:v>
      </x:c>
      <x:c r="E475" s="15" t="str">
        <x:v>Implementation prerequisite</x:v>
      </x:c>
      <x:c r="F475" s="15" t="str">
        <x:v>Define and implement top_module</x:v>
      </x:c>
      <x:c r="G475" s="15" t="str">
        <x:v>in, out_both, out_any, out_different</x:v>
      </x:c>
      <x:c r="H475" s="15" t="str">
        <x:v>Complete the existing module/interface and write the intended port-level contract before attempting functional vectors. This plan does not implement it.</x:v>
      </x:c>
      <x:c r="I475" s="15" t="str">
        <x:v>A named module elaborates with driven outputs and a defined function. Current source is empty or malformed, so functional pass criteria cannot be inferred safely.</x:v>
      </x:c>
      <x:c r="J475" s="17"/>
      <x:c r="K475" s="24"/>
      <x:c r="L475" s="17"/>
      <x:c r="M475" s="17" t="str">
        <x:v>Existing stub; not a passing design.</x:v>
      </x:c>
      <x:c r="N475" s="15" t="str">
        <x:v>HDLBits Attempt 1/study/solutions/Day 03/058-gatesv100.sv</x:v>
      </x:c>
      <x:c r="O475" s="26" t="str">
        <x:v>https://github.com/kapiltrip/hdlBits/blob/fc3f2b993a1e202ef42a8e831c29f8f287f85e7a/HDLBits%20Attempt%201/study/solutions/Day%2003/058-gatesv100.sv</x:v>
      </x:c>
      <x:c r="P475" s="15" t="str">
        <x:f>IF(B475="Done",IF(OR(J475="",K475="",L475=""),"Add run evidence","Recorded"),IF(OR(B475="Blocked",B475="N/A"),IF(M475="","Add reason","Reason recorded"),""))</x:f>
        <x:v>Reason recorded</x:v>
      </x:c>
      <x:c r="Q475" s="15" t="str">
        <x:v>fc3f2b993a1e202ef42a8e831c29f8f287f85e7a</x:v>
      </x:c>
    </x:row>
    <x:row r="476" ht="86" customHeight="1">
      <x:c r="A476" s="4" t="str">
        <x:v>HDL-060</x:v>
      </x:c>
      <x:c r="B476" s="23" t="str">
        <x:v>Blocked</x:v>
      </x:c>
      <x:c r="C476" s="20" t="str">
        <x:v>P0</x:v>
      </x:c>
      <x:c r="D476" s="4" t="str">
        <x:v>hdlBits</x:v>
      </x:c>
      <x:c r="E476" s="4" t="str">
        <x:v>Implementation prerequisite</x:v>
      </x:c>
      <x:c r="F476" s="4" t="str">
        <x:v>Define and implement top_module</x:v>
      </x:c>
      <x:c r="G476" s="4" t="str">
        <x:v>a, b, sel, out</x:v>
      </x:c>
      <x:c r="H476" s="4" t="str">
        <x:v>Complete the existing module/interface and write the intended port-level contract before attempting functional vectors. This plan does not implement it.</x:v>
      </x:c>
      <x:c r="I476" s="4" t="str">
        <x:v>A named module elaborates with driven outputs and a defined function. Current source is empty or malformed, so functional pass criteria cannot be inferred safely.</x:v>
      </x:c>
      <x:c r="J476" s="17"/>
      <x:c r="K476" s="24"/>
      <x:c r="L476" s="17"/>
      <x:c r="M476" s="17" t="str">
        <x:v>Existing stub; not a passing design.</x:v>
      </x:c>
      <x:c r="N476" s="4" t="str">
        <x:v>HDLBits Attempt 1/study/solutions/Day 03/059-mux2to1.sv</x:v>
      </x:c>
      <x:c r="O476" s="25" t="str">
        <x:v>https://github.com/kapiltrip/hdlBits/blob/fc3f2b993a1e202ef42a8e831c29f8f287f85e7a/HDLBits%20Attempt%201/study/solutions/Day%2003/059-mux2to1.sv</x:v>
      </x:c>
      <x:c r="P476" s="4" t="str">
        <x:f>IF(B476="Done",IF(OR(J476="",K476="",L476=""),"Add run evidence","Recorded"),IF(OR(B476="Blocked",B476="N/A"),IF(M476="","Add reason","Reason recorded"),""))</x:f>
        <x:v>Reason recorded</x:v>
      </x:c>
      <x:c r="Q476" s="4" t="str">
        <x:v>fc3f2b993a1e202ef42a8e831c29f8f287f85e7a</x:v>
      </x:c>
    </x:row>
    <x:row r="477" ht="86" customHeight="1">
      <x:c r="A477" s="15" t="str">
        <x:v>HDL-061</x:v>
      </x:c>
      <x:c r="B477" s="23" t="str">
        <x:v>Blocked</x:v>
      </x:c>
      <x:c r="C477" s="21" t="str">
        <x:v>P0</x:v>
      </x:c>
      <x:c r="D477" s="15" t="str">
        <x:v>hdlBits</x:v>
      </x:c>
      <x:c r="E477" s="15" t="str">
        <x:v>Implementation prerequisite</x:v>
      </x:c>
      <x:c r="F477" s="15" t="str">
        <x:v>Define and implement top_module</x:v>
      </x:c>
      <x:c r="G477" s="15" t="str">
        <x:v>a, b, sel, out</x:v>
      </x:c>
      <x:c r="H477" s="15" t="str">
        <x:v>Complete the existing module/interface and write the intended port-level contract before attempting functional vectors. This plan does not implement it.</x:v>
      </x:c>
      <x:c r="I477" s="15" t="str">
        <x:v>A named module elaborates with driven outputs and a defined function. Current source is empty or malformed, so functional pass criteria cannot be inferred safely.</x:v>
      </x:c>
      <x:c r="J477" s="17"/>
      <x:c r="K477" s="24"/>
      <x:c r="L477" s="17"/>
      <x:c r="M477" s="17" t="str">
        <x:v>Existing stub; not a passing design.</x:v>
      </x:c>
      <x:c r="N477" s="15" t="str">
        <x:v>HDLBits Attempt 1/study/solutions/Day 03/060-mux2to1v.sv</x:v>
      </x:c>
      <x:c r="O477" s="26" t="str">
        <x:v>https://github.com/kapiltrip/hdlBits/blob/fc3f2b993a1e202ef42a8e831c29f8f287f85e7a/HDLBits%20Attempt%201/study/solutions/Day%2003/060-mux2to1v.sv</x:v>
      </x:c>
      <x:c r="P477" s="15" t="str">
        <x:f>IF(B477="Done",IF(OR(J477="",K477="",L477=""),"Add run evidence","Recorded"),IF(OR(B477="Blocked",B477="N/A"),IF(M477="","Add reason","Reason recorded"),""))</x:f>
        <x:v>Reason recorded</x:v>
      </x:c>
      <x:c r="Q477" s="15" t="str">
        <x:v>fc3f2b993a1e202ef42a8e831c29f8f287f85e7a</x:v>
      </x:c>
    </x:row>
    <x:row r="478" ht="86" customHeight="1">
      <x:c r="A478" s="4" t="str">
        <x:v>HDL-062</x:v>
      </x:c>
      <x:c r="B478" s="23" t="str">
        <x:v>Blocked</x:v>
      </x:c>
      <x:c r="C478" s="20" t="str">
        <x:v>P0</x:v>
      </x:c>
      <x:c r="D478" s="4" t="str">
        <x:v>hdlBits</x:v>
      </x:c>
      <x:c r="E478" s="4" t="str">
        <x:v>Implementation prerequisite</x:v>
      </x:c>
      <x:c r="F478" s="4" t="str">
        <x:v>Define and implement top_module</x:v>
      </x:c>
      <x:c r="G478" s="4" t="str">
        <x:v>a, b, c, d, e, f, g, h, i, sel, out</x:v>
      </x:c>
      <x:c r="H478" s="4" t="str">
        <x:v>Complete the existing module/interface and write the intended port-level contract before attempting functional vectors. This plan does not implement it.</x:v>
      </x:c>
      <x:c r="I478" s="4" t="str">
        <x:v>A named module elaborates with driven outputs and a defined function. Current source is empty or malformed, so functional pass criteria cannot be inferred safely.</x:v>
      </x:c>
      <x:c r="J478" s="17"/>
      <x:c r="K478" s="24"/>
      <x:c r="L478" s="17"/>
      <x:c r="M478" s="17" t="str">
        <x:v>Existing stub; not a passing design.</x:v>
      </x:c>
      <x:c r="N478" s="4" t="str">
        <x:v>HDLBits Attempt 1/study/solutions/Day 03/061-mux9to1v.sv</x:v>
      </x:c>
      <x:c r="O478" s="25" t="str">
        <x:v>https://github.com/kapiltrip/hdlBits/blob/fc3f2b993a1e202ef42a8e831c29f8f287f85e7a/HDLBits%20Attempt%201/study/solutions/Day%2003/061-mux9to1v.sv</x:v>
      </x:c>
      <x:c r="P478" s="4" t="str">
        <x:f>IF(B478="Done",IF(OR(J478="",K478="",L478=""),"Add run evidence","Recorded"),IF(OR(B478="Blocked",B478="N/A"),IF(M478="","Add reason","Reason recorded"),""))</x:f>
        <x:v>Reason recorded</x:v>
      </x:c>
      <x:c r="Q478" s="4" t="str">
        <x:v>fc3f2b993a1e202ef42a8e831c29f8f287f85e7a</x:v>
      </x:c>
    </x:row>
    <x:row r="479" ht="86" customHeight="1">
      <x:c r="A479" s="15" t="str">
        <x:v>HDL-063</x:v>
      </x:c>
      <x:c r="B479" s="23" t="str">
        <x:v>Blocked</x:v>
      </x:c>
      <x:c r="C479" s="21" t="str">
        <x:v>P0</x:v>
      </x:c>
      <x:c r="D479" s="15" t="str">
        <x:v>hdlBits</x:v>
      </x:c>
      <x:c r="E479" s="15" t="str">
        <x:v>Implementation prerequisite</x:v>
      </x:c>
      <x:c r="F479" s="15" t="str">
        <x:v>Define and implement top_module</x:v>
      </x:c>
      <x:c r="G479" s="15" t="str">
        <x:v>in, sel, out</x:v>
      </x:c>
      <x:c r="H479" s="15" t="str">
        <x:v>Complete the existing module/interface and write the intended port-level contract before attempting functional vectors. This plan does not implement it.</x:v>
      </x:c>
      <x:c r="I479" s="15" t="str">
        <x:v>A named module elaborates with driven outputs and a defined function. Current source is empty or malformed, so functional pass criteria cannot be inferred safely.</x:v>
      </x:c>
      <x:c r="J479" s="17"/>
      <x:c r="K479" s="24"/>
      <x:c r="L479" s="17"/>
      <x:c r="M479" s="17" t="str">
        <x:v>Existing stub; not a passing design.</x:v>
      </x:c>
      <x:c r="N479" s="15" t="str">
        <x:v>HDLBits Attempt 1/study/solutions/Day 03/062-mux256to1.sv</x:v>
      </x:c>
      <x:c r="O479" s="26" t="str">
        <x:v>https://github.com/kapiltrip/hdlBits/blob/fc3f2b993a1e202ef42a8e831c29f8f287f85e7a/HDLBits%20Attempt%201/study/solutions/Day%2003/062-mux256to1.sv</x:v>
      </x:c>
      <x:c r="P479" s="15" t="str">
        <x:f>IF(B479="Done",IF(OR(J479="",K479="",L479=""),"Add run evidence","Recorded"),IF(OR(B479="Blocked",B479="N/A"),IF(M479="","Add reason","Reason recorded"),""))</x:f>
        <x:v>Reason recorded</x:v>
      </x:c>
      <x:c r="Q479" s="15" t="str">
        <x:v>fc3f2b993a1e202ef42a8e831c29f8f287f85e7a</x:v>
      </x:c>
    </x:row>
    <x:row r="480" ht="86" customHeight="1">
      <x:c r="A480" s="4" t="str">
        <x:v>HDL-064</x:v>
      </x:c>
      <x:c r="B480" s="19" t="str">
        <x:v>Pending</x:v>
      </x:c>
      <x:c r="C480" s="4" t="str">
        <x:v>P1</x:v>
      </x:c>
      <x:c r="D480" s="4" t="str">
        <x:v>hdlBits</x:v>
      </x:c>
      <x:c r="E480" s="4" t="str">
        <x:v>Multiplexer</x:v>
      </x:c>
      <x:c r="F480" s="4" t="str">
        <x:v>Every select and unselected-input isolation</x:v>
      </x:c>
      <x:c r="G480" s="4" t="str">
        <x:v>in, sel, out</x:v>
      </x:c>
      <x:c r="H480" s="4" t="str">
        <x:v>Sweep sel through all encodings; set data inputs to distinguishable patterns, then toggle only unselected inputs.</x:v>
      </x:c>
      <x:c r="I480" s="4" t="str">
        <x:v>out equals the selected input. Exercise selected values 0 and 1 and vector extremes. Unselected changes do not affect the result; verify the default mapping for unused encodings. Source mapping: out = in[sel*4+:4].</x:v>
      </x:c>
      <x:c r="J480" s="17"/>
      <x:c r="K480" s="24"/>
      <x:c r="L480" s="17"/>
      <x:c r="M480" s="17" t="str">
        <x:v>Compile this exercise separately because many files declare top_module. Use the original exercise statement as an independent oracle; helper stubs establish elaboration only.</x:v>
      </x:c>
      <x:c r="N480" s="4" t="str">
        <x:v>HDLBits Attempt 1/study/solutions/Day 03/063-mux256to1v.sv</x:v>
      </x:c>
      <x:c r="O480" s="25" t="str">
        <x:v>https://github.com/kapiltrip/hdlBits/blob/fc3f2b993a1e202ef42a8e831c29f8f287f85e7a/HDLBits%20Attempt%201/study/solutions/Day%2003/063-mux256to1v.sv</x:v>
      </x:c>
      <x:c r="P480" s="4" t="str">
        <x:f>IF(B480="Done",IF(OR(J480="",K480="",L480=""),"Add run evidence","Recorded"),IF(OR(B480="Blocked",B480="N/A"),IF(M480="","Add reason","Reason recorded"),""))</x:f>
      </x:c>
      <x:c r="Q480" s="4" t="str">
        <x:v>fc3f2b993a1e202ef42a8e831c29f8f287f85e7a</x:v>
      </x:c>
    </x:row>
    <x:row r="481" ht="86" customHeight="1">
      <x:c r="A481" s="15" t="str">
        <x:v>HDL-065</x:v>
      </x:c>
      <x:c r="B481" s="19" t="str">
        <x:v>Pending</x:v>
      </x:c>
      <x:c r="C481" s="15" t="str">
        <x:v>P1</x:v>
      </x:c>
      <x:c r="D481" s="15" t="str">
        <x:v>hdlBits</x:v>
      </x:c>
      <x:c r="E481" s="15" t="str">
        <x:v>Arithmetic</x:v>
      </x:c>
      <x:c r="F481" s="15" t="str">
        <x:v>Arithmetic, carry/borrow and width</x:v>
      </x:c>
      <x:c r="G481" s="15" t="str">
        <x:v>a, b, cout, sum</x:v>
      </x:c>
      <x:c r="H481" s="15" t="str">
        <x:v>Exercise a, b at zero, one, maximum, alternating patterns and long carry/borrow chains. Exhaust all combinations for small widths; include both carry-in/subtract settings when present.</x:v>
      </x:c>
      <x:c r="I481" s="15" t="str">
        <x:v>Compute the integer arithmetic independently, then apply the declared result width. Check every cout, sum bit including carry, borrow or signed overflow where exposed. Carry-out and signed overflow are different.  Source mapping: cout = a &amp;b; sum = a^b.</x:v>
      </x:c>
      <x:c r="J481" s="17"/>
      <x:c r="K481" s="24"/>
      <x:c r="L481" s="17"/>
      <x:c r="M481" s="17" t="str">
        <x:v>Compile this exercise separately because many files declare top_module. Use the original exercise statement as an independent oracle; helper stubs establish elaboration only.</x:v>
      </x:c>
      <x:c r="N481" s="15" t="str">
        <x:v>HDLBits Attempt 1/study/solutions/Day 03/064-hadd.sv</x:v>
      </x:c>
      <x:c r="O481" s="26" t="str">
        <x:v>https://github.com/kapiltrip/hdlBits/blob/fc3f2b993a1e202ef42a8e831c29f8f287f85e7a/HDLBits%20Attempt%201/study/solutions/Day%2003/064-hadd.sv</x:v>
      </x:c>
      <x:c r="P481" s="15" t="str">
        <x:f>IF(B481="Done",IF(OR(J481="",K481="",L481=""),"Add run evidence","Recorded"),IF(OR(B481="Blocked",B481="N/A"),IF(M481="","Add reason","Reason recorded"),""))</x:f>
      </x:c>
      <x:c r="Q481" s="15" t="str">
        <x:v>fc3f2b993a1e202ef42a8e831c29f8f287f85e7a</x:v>
      </x:c>
    </x:row>
    <x:row r="482" ht="86" customHeight="1">
      <x:c r="A482" s="4" t="str">
        <x:v>HDL-066</x:v>
      </x:c>
      <x:c r="B482" s="19" t="str">
        <x:v>Pending</x:v>
      </x:c>
      <x:c r="C482" s="4" t="str">
        <x:v>P1</x:v>
      </x:c>
      <x:c r="D482" s="4" t="str">
        <x:v>hdlBits</x:v>
      </x:c>
      <x:c r="E482" s="4" t="str">
        <x:v>Arithmetic</x:v>
      </x:c>
      <x:c r="F482" s="4" t="str">
        <x:v>Arithmetic, carry/borrow and width</x:v>
      </x:c>
      <x:c r="G482" s="4" t="str">
        <x:v>a, b, cin, cout, sum</x:v>
      </x:c>
      <x:c r="H482" s="4" t="str">
        <x:v>Exercise a, b, cin at zero, one, maximum, alternating patterns and long carry/borrow chains. Exhaust all combinations for small widths; include both carry-in/subtract settings when present.</x:v>
      </x:c>
      <x:c r="I482" s="4" t="str">
        <x:v>Compute the integer arithmetic independently, then apply the declared result width. Check every cout, sum bit including carry, borrow or signed overflow where exposed. Carry-out and signed overflow are different.  Source mapping: cout = carry[3:1]; sum = a^b^cin; cout = a&amp;b | b&amp;cin | a &amp;cin.</x:v>
      </x:c>
      <x:c r="J482" s="17"/>
      <x:c r="K482" s="24"/>
      <x:c r="L482" s="17"/>
      <x:c r="M482" s="17" t="str">
        <x:v>Compile this exercise separately because many files declare top_module. Use the original exercise statement as an independent oracle; helper stubs establish elaboration only.</x:v>
      </x:c>
      <x:c r="N482" s="4" t="str">
        <x:v>HDLBits Attempt 1/study/solutions/Day 03/066-adder3.sv</x:v>
      </x:c>
      <x:c r="O482" s="25" t="str">
        <x:v>https://github.com/kapiltrip/hdlBits/blob/fc3f2b993a1e202ef42a8e831c29f8f287f85e7a/HDLBits%20Attempt%201/study/solutions/Day%2003/066-adder3.sv</x:v>
      </x:c>
      <x:c r="P482" s="4" t="str">
        <x:f>IF(B482="Done",IF(OR(J482="",K482="",L482=""),"Add run evidence","Recorded"),IF(OR(B482="Blocked",B482="N/A"),IF(M482="","Add reason","Reason recorded"),""))</x:f>
      </x:c>
      <x:c r="Q482" s="4" t="str">
        <x:v>fc3f2b993a1e202ef42a8e831c29f8f287f85e7a</x:v>
      </x:c>
    </x:row>
    <x:row r="483" ht="86" customHeight="1">
      <x:c r="A483" s="15" t="str">
        <x:v>HDL-067</x:v>
      </x:c>
      <x:c r="B483" s="19" t="str">
        <x:v>Pending</x:v>
      </x:c>
      <x:c r="C483" s="15" t="str">
        <x:v>P1</x:v>
      </x:c>
      <x:c r="D483" s="15" t="str">
        <x:v>hdlBits</x:v>
      </x:c>
      <x:c r="E483" s="15" t="str">
        <x:v>Combinational logic</x:v>
      </x:c>
      <x:c r="F483" s="15" t="str">
        <x:v>Input combinations and output mapping</x:v>
      </x:c>
      <x:c r="G483" s="15" t="str">
        <x:v>x, y, sum, a, b, cin, cout</x:v>
      </x:c>
      <x:c r="H483" s="15" t="str">
        <x:v>Drive x, y through binary combinations when small; for vectors use zero, all ones, alternating bits and walking one/zero. Toggle one input at a time and include rapid changes after a previous nonzero result.</x:v>
      </x:c>
      <x:c r="I483" s="15" t="str">
        <x:v>Check sum against an independently written truth table. Combinational results must settle without a clock or stale retained values. Source mapping: sum[4] = carry[4]; sum = a^b^cin.</x:v>
      </x:c>
      <x:c r="J483" s="17"/>
      <x:c r="K483" s="24"/>
      <x:c r="L483" s="17"/>
      <x:c r="M483" s="17" t="str">
        <x:v>Compile this exercise separately because many files declare top_module. Use the original exercise statement as an independent oracle; helper stubs establish elaboration only.</x:v>
      </x:c>
      <x:c r="N483" s="15" t="str">
        <x:v>HDLBits Attempt 1/study/solutions/Day 03/067-exams__m2014_q4j.sv</x:v>
      </x:c>
      <x:c r="O483" s="26" t="str">
        <x:v>https://github.com/kapiltrip/hdlBits/blob/fc3f2b993a1e202ef42a8e831c29f8f287f85e7a/HDLBits%20Attempt%201/study/solutions/Day%2003/067-exams__m2014_q4j.sv</x:v>
      </x:c>
      <x:c r="P483" s="15" t="str">
        <x:f>IF(B483="Done",IF(OR(J483="",K483="",L483=""),"Add run evidence","Recorded"),IF(OR(B483="Blocked",B483="N/A"),IF(M483="","Add reason","Reason recorded"),""))</x:f>
      </x:c>
      <x:c r="Q483" s="15" t="str">
        <x:v>fc3f2b993a1e202ef42a8e831c29f8f287f85e7a</x:v>
      </x:c>
    </x:row>
    <x:row r="484" ht="86" customHeight="1">
      <x:c r="A484" s="4" t="str">
        <x:v>HDL-068</x:v>
      </x:c>
      <x:c r="B484" s="19" t="str">
        <x:v>Pending</x:v>
      </x:c>
      <x:c r="C484" s="4" t="str">
        <x:v>P1</x:v>
      </x:c>
      <x:c r="D484" s="4" t="str">
        <x:v>hdlBits</x:v>
      </x:c>
      <x:c r="E484" s="4" t="str">
        <x:v>Combinational logic</x:v>
      </x:c>
      <x:c r="F484" s="4" t="str">
        <x:v>Input combinations and output mapping</x:v>
      </x:c>
      <x:c r="G484" s="4" t="str">
        <x:v>a, b, s, overflow</x:v>
      </x:c>
      <x:c r="H484" s="4" t="str">
        <x:v>Drive a, b through binary combinations when small; for vectors use zero, all ones, alternating bits and walking one/zero. Toggle one input at a time and include rapid changes after a previous nonzero result.</x:v>
      </x:c>
      <x:c r="I484" s="4" t="str">
        <x:v>Check s, overflow against an independently written truth table. Combinational results must settle without a clock or stale retained values. Source mapping: s = a+b; overflow = (a[7]==b[7]) &amp;&amp; (a[7] != s[7]).</x:v>
      </x:c>
      <x:c r="J484" s="17"/>
      <x:c r="K484" s="24"/>
      <x:c r="L484" s="17"/>
      <x:c r="M484" s="17" t="str">
        <x:v>Compile this exercise separately because many files declare top_module. Use the original exercise statement as an independent oracle; helper stubs establish elaboration only.</x:v>
      </x:c>
      <x:c r="N484" s="4" t="str">
        <x:v>HDLBits Attempt 1/study/solutions/Day 03/068-exams__ece241_2014_q1c.sv</x:v>
      </x:c>
      <x:c r="O484" s="25" t="str">
        <x:v>https://github.com/kapiltrip/hdlBits/blob/fc3f2b993a1e202ef42a8e831c29f8f287f85e7a/HDLBits%20Attempt%201/study/solutions/Day%2003/068-exams__ece241_2014_q1c.sv</x:v>
      </x:c>
      <x:c r="P484" s="4" t="str">
        <x:f>IF(B484="Done",IF(OR(J484="",K484="",L484=""),"Add run evidence","Recorded"),IF(OR(B484="Blocked",B484="N/A"),IF(M484="","Add reason","Reason recorded"),""))</x:f>
      </x:c>
      <x:c r="Q484" s="4" t="str">
        <x:v>fc3f2b993a1e202ef42a8e831c29f8f287f85e7a</x:v>
      </x:c>
    </x:row>
    <x:row r="485" ht="86" customHeight="1">
      <x:c r="A485" s="15" t="str">
        <x:v>HDL-069</x:v>
      </x:c>
      <x:c r="B485" s="19" t="str">
        <x:v>Pending</x:v>
      </x:c>
      <x:c r="C485" s="15" t="str">
        <x:v>P1</x:v>
      </x:c>
      <x:c r="D485" s="15" t="str">
        <x:v>hdlBits</x:v>
      </x:c>
      <x:c r="E485" s="15" t="str">
        <x:v>Arithmetic</x:v>
      </x:c>
      <x:c r="F485" s="15" t="str">
        <x:v>Arithmetic, carry/borrow and width</x:v>
      </x:c>
      <x:c r="G485" s="15" t="str">
        <x:v>a, b, cin, cout, sum</x:v>
      </x:c>
      <x:c r="H485" s="15" t="str">
        <x:v>Exercise a, b, cin at zero, one, maximum, alternating patterns and long carry/borrow chains. Exhaust all combinations for small widths; include both carry-in/subtract settings when present.</x:v>
      </x:c>
      <x:c r="I485" s="15" t="str">
        <x:v>Compute the integer arithmetic independently, then apply the declared result width. Check every cout, sum bit including carry, borrow or signed overflow where exposed. Carry-out and signed overflow are different.  Source mapping: cout = carry [100]; sum = a^b^cin; cout = a&amp;b | b&amp;cin| a&amp;cin.</x:v>
      </x:c>
      <x:c r="J485" s="17"/>
      <x:c r="K485" s="24"/>
      <x:c r="L485" s="17"/>
      <x:c r="M485" s="17" t="str">
        <x:v>Compile this exercise separately because many files declare top_module. Use the original exercise statement as an independent oracle; helper stubs establish elaboration only.</x:v>
      </x:c>
      <x:c r="N485" s="15" t="str">
        <x:v>HDLBits Attempt 1/study/solutions/Day 03/069-adder100.sv</x:v>
      </x:c>
      <x:c r="O485" s="26" t="str">
        <x:v>https://github.com/kapiltrip/hdlBits/blob/fc3f2b993a1e202ef42a8e831c29f8f287f85e7a/HDLBits%20Attempt%201/study/solutions/Day%2003/069-adder100.sv</x:v>
      </x:c>
      <x:c r="P485" s="15" t="str">
        <x:f>IF(B485="Done",IF(OR(J485="",K485="",L485=""),"Add run evidence","Recorded"),IF(OR(B485="Blocked",B485="N/A"),IF(M485="","Add reason","Reason recorded"),""))</x:f>
      </x:c>
      <x:c r="Q485" s="15" t="str">
        <x:v>fc3f2b993a1e202ef42a8e831c29f8f287f85e7a</x:v>
      </x:c>
    </x:row>
    <x:row r="486" ht="86" customHeight="1">
      <x:c r="A486" s="4" t="str">
        <x:v>HDL-070</x:v>
      </x:c>
      <x:c r="B486" s="19" t="str">
        <x:v>Pending</x:v>
      </x:c>
      <x:c r="C486" s="4" t="str">
        <x:v>P1</x:v>
      </x:c>
      <x:c r="D486" s="4" t="str">
        <x:v>hdlBits</x:v>
      </x:c>
      <x:c r="E486" s="4" t="str">
        <x:v>Combinational logic</x:v>
      </x:c>
      <x:c r="F486" s="4" t="str">
        <x:v>Input combinations and output mapping</x:v>
      </x:c>
      <x:c r="G486" s="4" t="str">
        <x:v>a, b, cin, cout, sum</x:v>
      </x:c>
      <x:c r="H486" s="4" t="str">
        <x:v>Drive a, b, cin through binary combinations when small; for vectors use zero, all ones, alternating bits and walking one/zero. Toggle one input at a time and include rapid changes after a previous nonzero result.</x:v>
      </x:c>
      <x:c r="I486" s="4" t="str">
        <x:v>Check cout, sum against an independently written truth table. Combinational results must settle without a clock or stale retained values. Source mapping: cout = carry [4].</x:v>
      </x:c>
      <x:c r="J486" s="17"/>
      <x:c r="K486" s="24"/>
      <x:c r="L486" s="17"/>
      <x:c r="M486" s="17" t="str">
        <x:v>Compile this exercise separately because many files declare top_module. Use the original exercise statement as an independent oracle; helper stubs establish elaboration only.</x:v>
      </x:c>
      <x:c r="N486" s="4" t="str">
        <x:v>HDLBits Attempt 1/study/solutions/Day 03/070-bcdadd4.sv</x:v>
      </x:c>
      <x:c r="O486" s="25" t="str">
        <x:v>https://github.com/kapiltrip/hdlBits/blob/fc3f2b993a1e202ef42a8e831c29f8f287f85e7a/HDLBits%20Attempt%201/study/solutions/Day%2003/070-bcdadd4.sv</x:v>
      </x:c>
      <x:c r="P486" s="4" t="str">
        <x:f>IF(B486="Done",IF(OR(J486="",K486="",L486=""),"Add run evidence","Recorded"),IF(OR(B486="Blocked",B486="N/A"),IF(M486="","Add reason","Reason recorded"),""))</x:f>
      </x:c>
      <x:c r="Q486" s="4" t="str">
        <x:v>fc3f2b993a1e202ef42a8e831c29f8f287f85e7a</x:v>
      </x:c>
    </x:row>
    <x:row r="487" ht="86" customHeight="1">
      <x:c r="A487" s="15" t="str">
        <x:v>HDL-071</x:v>
      </x:c>
      <x:c r="B487" s="19" t="str">
        <x:v>Pending</x:v>
      </x:c>
      <x:c r="C487" s="15" t="str">
        <x:v>P1</x:v>
      </x:c>
      <x:c r="D487" s="15" t="str">
        <x:v>hdlBits</x:v>
      </x:c>
      <x:c r="E487" s="15" t="str">
        <x:v>Combinational logic</x:v>
      </x:c>
      <x:c r="F487" s="15" t="str">
        <x:v>Input combinations and output mapping</x:v>
      </x:c>
      <x:c r="G487" s="15" t="str">
        <x:v>a, b, c, out</x:v>
      </x:c>
      <x:c r="H487" s="15" t="str">
        <x:v>Drive a, b, c through binary combinations when small; for vectors use zero, all ones, alternating bits and walking one/zero. Toggle one input at a time and include rapid changes after a previous nonzero result.</x:v>
      </x:c>
      <x:c r="I487" s="15" t="str">
        <x:v>Check out against an independently written truth table. Combinational results must settle without a clock or stale retained values. Source mapping: out = a | b | c.</x:v>
      </x:c>
      <x:c r="J487" s="17"/>
      <x:c r="K487" s="24"/>
      <x:c r="L487" s="17"/>
      <x:c r="M487" s="17" t="str">
        <x:v>Compile this exercise separately because many files declare top_module. Use the original exercise statement as an independent oracle; helper stubs establish elaboration only.</x:v>
      </x:c>
      <x:c r="N487" s="15" t="str">
        <x:v>HDLBits Attempt 1/study/solutions/Day 03/071-kmap1.sv</x:v>
      </x:c>
      <x:c r="O487" s="26" t="str">
        <x:v>https://github.com/kapiltrip/hdlBits/blob/fc3f2b993a1e202ef42a8e831c29f8f287f85e7a/HDLBits%20Attempt%201/study/solutions/Day%2003/071-kmap1.sv</x:v>
      </x:c>
      <x:c r="P487" s="15" t="str">
        <x:f>IF(B487="Done",IF(OR(J487="",K487="",L487=""),"Add run evidence","Recorded"),IF(OR(B487="Blocked",B487="N/A"),IF(M487="","Add reason","Reason recorded"),""))</x:f>
      </x:c>
      <x:c r="Q487" s="15" t="str">
        <x:v>fc3f2b993a1e202ef42a8e831c29f8f287f85e7a</x:v>
      </x:c>
    </x:row>
    <x:row r="488" ht="86" customHeight="1">
      <x:c r="A488" s="4" t="str">
        <x:v>HDL-072</x:v>
      </x:c>
      <x:c r="B488" s="19" t="str">
        <x:v>Pending</x:v>
      </x:c>
      <x:c r="C488" s="4" t="str">
        <x:v>P1</x:v>
      </x:c>
      <x:c r="D488" s="4" t="str">
        <x:v>hdlBits</x:v>
      </x:c>
      <x:c r="E488" s="4" t="str">
        <x:v>Combinational logic</x:v>
      </x:c>
      <x:c r="F488" s="4" t="str">
        <x:v>Input combinations and output mapping</x:v>
      </x:c>
      <x:c r="G488" s="4" t="str">
        <x:v>a, b, c, d, out</x:v>
      </x:c>
      <x:c r="H488" s="4" t="str">
        <x:v>Drive a, b, c, d through binary combinations when small; for vectors use zero, all ones, alternating bits and walking one/zero. Toggle one input at a time and include rapid changes after a previous nonzero result.</x:v>
      </x:c>
      <x:c r="I488" s="4" t="str">
        <x:v>Check out against an independently written truth table. Combinational results must settle without a clock or stale retained values. Source mapping: out = c &amp; d &amp; (a | b ) | ~b &amp; ~c | ~a &amp; ~ d.</x:v>
      </x:c>
      <x:c r="J488" s="17"/>
      <x:c r="K488" s="24"/>
      <x:c r="L488" s="17"/>
      <x:c r="M488" s="17" t="str">
        <x:v>Compile this exercise separately because many files declare top_module. Use the original exercise statement as an independent oracle; helper stubs establish elaboration only.</x:v>
      </x:c>
      <x:c r="N488" s="4" t="str">
        <x:v>HDLBits Attempt 1/study/solutions/Day 03/072-kmap2.sv</x:v>
      </x:c>
      <x:c r="O488" s="25" t="str">
        <x:v>https://github.com/kapiltrip/hdlBits/blob/fc3f2b993a1e202ef42a8e831c29f8f287f85e7a/HDLBits%20Attempt%201/study/solutions/Day%2003/072-kmap2.sv</x:v>
      </x:c>
      <x:c r="P488" s="4" t="str">
        <x:f>IF(B488="Done",IF(OR(J488="",K488="",L488=""),"Add run evidence","Recorded"),IF(OR(B488="Blocked",B488="N/A"),IF(M488="","Add reason","Reason recorded"),""))</x:f>
      </x:c>
      <x:c r="Q488" s="4" t="str">
        <x:v>fc3f2b993a1e202ef42a8e831c29f8f287f85e7a</x:v>
      </x:c>
    </x:row>
    <x:row r="489" ht="86" customHeight="1">
      <x:c r="A489" s="15" t="str">
        <x:v>HDL-073</x:v>
      </x:c>
      <x:c r="B489" s="23" t="str">
        <x:v>Blocked</x:v>
      </x:c>
      <x:c r="C489" s="21" t="str">
        <x:v>P0</x:v>
      </x:c>
      <x:c r="D489" s="15" t="str">
        <x:v>hdlBits</x:v>
      </x:c>
      <x:c r="E489" s="15" t="str">
        <x:v>Implementation prerequisite</x:v>
      </x:c>
      <x:c r="F489" s="15" t="str">
        <x:v>Define and implement top_module</x:v>
      </x:c>
      <x:c r="G489" s="15" t="str">
        <x:v>a, b, c, d, out</x:v>
      </x:c>
      <x:c r="H489" s="15" t="str">
        <x:v>Complete the existing module/interface and write the intended port-level contract before attempting functional vectors. This plan does not implement it.</x:v>
      </x:c>
      <x:c r="I489" s="15" t="str">
        <x:v>A named module elaborates with driven outputs and a defined function. Current source is empty or malformed, so functional pass criteria cannot be inferred safely.</x:v>
      </x:c>
      <x:c r="J489" s="17"/>
      <x:c r="K489" s="24"/>
      <x:c r="L489" s="17"/>
      <x:c r="M489" s="17" t="str">
        <x:v>Existing stub; not a passing design.</x:v>
      </x:c>
      <x:c r="N489" s="15" t="str">
        <x:v>HDLBits Attempt 1/study/solutions/Day 03/073-kmap3.sv</x:v>
      </x:c>
      <x:c r="O489" s="26" t="str">
        <x:v>https://github.com/kapiltrip/hdlBits/blob/fc3f2b993a1e202ef42a8e831c29f8f287f85e7a/HDLBits%20Attempt%201/study/solutions/Day%2003/073-kmap3.sv</x:v>
      </x:c>
      <x:c r="P489" s="15" t="str">
        <x:f>IF(B489="Done",IF(OR(J489="",K489="",L489=""),"Add run evidence","Recorded"),IF(OR(B489="Blocked",B489="N/A"),IF(M489="","Add reason","Reason recorded"),""))</x:f>
        <x:v>Reason recorded</x:v>
      </x:c>
      <x:c r="Q489" s="15" t="str">
        <x:v>fc3f2b993a1e202ef42a8e831c29f8f287f85e7a</x:v>
      </x:c>
    </x:row>
    <x:row r="490" ht="86" customHeight="1">
      <x:c r="A490" s="4" t="str">
        <x:v>HDL-074</x:v>
      </x:c>
      <x:c r="B490" s="19" t="str">
        <x:v>Pending</x:v>
      </x:c>
      <x:c r="C490" s="4" t="str">
        <x:v>P1</x:v>
      </x:c>
      <x:c r="D490" s="4" t="str">
        <x:v>hdlBits</x:v>
      </x:c>
      <x:c r="E490" s="4" t="str">
        <x:v>Combinational logic</x:v>
      </x:c>
      <x:c r="F490" s="4" t="str">
        <x:v>Input combinations and output mapping</x:v>
      </x:c>
      <x:c r="G490" s="4" t="str">
        <x:v>a, b, c, d, out</x:v>
      </x:c>
      <x:c r="H490" s="4" t="str">
        <x:v>Drive a, b, c, d through binary combinations when small; for vectors use zero, all ones, alternating bits and walking one/zero. Toggle one input at a time and include rapid changes after a previous nonzero result.</x:v>
      </x:c>
      <x:c r="I490" s="4" t="str">
        <x:v>Check out against an independently written truth table. Combinational results must settle without a clock or stale retained values. Source mapping: out = w1 &amp; w2 &amp; (a ^b) | w1 &amp; d &amp; ~(a ^ b ) | c &amp; d &amp; (a ^b)| c &amp; w2 &amp; ~(a ^ b).</x:v>
      </x:c>
      <x:c r="J490" s="17"/>
      <x:c r="K490" s="24"/>
      <x:c r="L490" s="17"/>
      <x:c r="M490" s="17" t="str">
        <x:v>Compile this exercise separately because many files declare top_module. Use the original exercise statement as an independent oracle; helper stubs establish elaboration only.</x:v>
      </x:c>
      <x:c r="N490" s="4" t="str">
        <x:v>HDLBits Attempt 1/study/solutions/Day 03/074-kmap4.sv</x:v>
      </x:c>
      <x:c r="O490" s="25" t="str">
        <x:v>https://github.com/kapiltrip/hdlBits/blob/fc3f2b993a1e202ef42a8e831c29f8f287f85e7a/HDLBits%20Attempt%201/study/solutions/Day%2003/074-kmap4.sv</x:v>
      </x:c>
      <x:c r="P490" s="4" t="str">
        <x:f>IF(B490="Done",IF(OR(J490="",K490="",L490=""),"Add run evidence","Recorded"),IF(OR(B490="Blocked",B490="N/A"),IF(M490="","Add reason","Reason recorded"),""))</x:f>
      </x:c>
      <x:c r="Q490" s="4" t="str">
        <x:v>fc3f2b993a1e202ef42a8e831c29f8f287f85e7a</x:v>
      </x:c>
    </x:row>
    <x:row r="491" ht="86" customHeight="1">
      <x:c r="A491" s="15" t="str">
        <x:v>HDL-075</x:v>
      </x:c>
      <x:c r="B491" s="19" t="str">
        <x:v>Pending</x:v>
      </x:c>
      <x:c r="C491" s="15" t="str">
        <x:v>P1</x:v>
      </x:c>
      <x:c r="D491" s="15" t="str">
        <x:v>hdlBits</x:v>
      </x:c>
      <x:c r="E491" s="15" t="str">
        <x:v>Combinational logic</x:v>
      </x:c>
      <x:c r="F491" s="15" t="str">
        <x:v>Input combinations and output mapping</x:v>
      </x:c>
      <x:c r="G491" s="15" t="str">
        <x:v>a, b, c, d, out_sop, out_pos</x:v>
      </x:c>
      <x:c r="H491" s="15" t="str">
        <x:v>Drive a, b, c, d through binary combinations when small; for vectors use zero, all ones, alternating bits and walking one/zero. Toggle one input at a time and include rapid changes after a previous nonzero result.</x:v>
      </x:c>
      <x:c r="I491" s="15" t="str">
        <x:v>Check out_sop, out_pos against an independently written truth table. Combinational results must settle without a clock or stale retained values. Source mapping: out_sop = ~a &amp; ~b &amp; c &amp; (d | ~d) | (a | ~a ) &amp; (b | ~b ) &amp; c&amp;d; out_pos = c &amp; (b | ~a) &amp; (d | ~b).</x:v>
      </x:c>
      <x:c r="J491" s="17"/>
      <x:c r="K491" s="24"/>
      <x:c r="L491" s="17"/>
      <x:c r="M491" s="17" t="str">
        <x:v>Compile this exercise separately because many files declare top_module. Use the original exercise statement as an independent oracle; helper stubs establish elaboration only.</x:v>
      </x:c>
      <x:c r="N491" s="15" t="str">
        <x:v>HDLBits Attempt 1/study/solutions/Day 03/075-exams__ece241_2013_q2.sv</x:v>
      </x:c>
      <x:c r="O491" s="26" t="str">
        <x:v>https://github.com/kapiltrip/hdlBits/blob/fc3f2b993a1e202ef42a8e831c29f8f287f85e7a/HDLBits%20Attempt%201/study/solutions/Day%2003/075-exams__ece241_2013_q2.sv</x:v>
      </x:c>
      <x:c r="P491" s="15" t="str">
        <x:f>IF(B491="Done",IF(OR(J491="",K491="",L491=""),"Add run evidence","Recorded"),IF(OR(B491="Blocked",B491="N/A"),IF(M491="","Add reason","Reason recorded"),""))</x:f>
      </x:c>
      <x:c r="Q491" s="15" t="str">
        <x:v>fc3f2b993a1e202ef42a8e831c29f8f287f85e7a</x:v>
      </x:c>
    </x:row>
    <x:row r="492" ht="86" customHeight="1">
      <x:c r="A492" s="4" t="str">
        <x:v>HDL-076</x:v>
      </x:c>
      <x:c r="B492" s="19" t="str">
        <x:v>Pending</x:v>
      </x:c>
      <x:c r="C492" s="4" t="str">
        <x:v>P1</x:v>
      </x:c>
      <x:c r="D492" s="4" t="str">
        <x:v>hdlBits</x:v>
      </x:c>
      <x:c r="E492" s="4" t="str">
        <x:v>Combinational logic</x:v>
      </x:c>
      <x:c r="F492" s="4" t="str">
        <x:v>Input combinations and output mapping</x:v>
      </x:c>
      <x:c r="G492" s="4" t="str">
        <x:v>x, f</x:v>
      </x:c>
      <x:c r="H492" s="4" t="str">
        <x:v>Drive x through binary combinations when small; for vectors use zero, all ones, alternating bits and walking one/zero. Toggle one input at a time and include rapid changes after a previous nonzero result.</x:v>
      </x:c>
      <x:c r="I492" s="4" t="str">
        <x:v>Check f against an independently written truth table. Combinational results must settle without a clock or stale retained values. Source mapping: f = x[4] &amp; x[2] | x[3] &amp; ~x[1].</x:v>
      </x:c>
      <x:c r="J492" s="17"/>
      <x:c r="K492" s="24"/>
      <x:c r="L492" s="17"/>
      <x:c r="M492" s="17" t="str">
        <x:v>Compile this exercise separately because many files declare top_module. Use the original exercise statement as an independent oracle; helper stubs establish elaboration only.</x:v>
      </x:c>
      <x:c r="N492" s="4" t="str">
        <x:v>HDLBits Attempt 1/study/solutions/Day 03/076-exams__m2014_q3.sv</x:v>
      </x:c>
      <x:c r="O492" s="25" t="str">
        <x:v>https://github.com/kapiltrip/hdlBits/blob/fc3f2b993a1e202ef42a8e831c29f8f287f85e7a/HDLBits%20Attempt%201/study/solutions/Day%2003/076-exams__m2014_q3.sv</x:v>
      </x:c>
      <x:c r="P492" s="4" t="str">
        <x:f>IF(B492="Done",IF(OR(J492="",K492="",L492=""),"Add run evidence","Recorded"),IF(OR(B492="Blocked",B492="N/A"),IF(M492="","Add reason","Reason recorded"),""))</x:f>
      </x:c>
      <x:c r="Q492" s="4" t="str">
        <x:v>fc3f2b993a1e202ef42a8e831c29f8f287f85e7a</x:v>
      </x:c>
    </x:row>
    <x:row r="493" ht="86" customHeight="1">
      <x:c r="A493" s="15" t="str">
        <x:v>HDL-077</x:v>
      </x:c>
      <x:c r="B493" s="19" t="str">
        <x:v>Pending</x:v>
      </x:c>
      <x:c r="C493" s="15" t="str">
        <x:v>P1</x:v>
      </x:c>
      <x:c r="D493" s="15" t="str">
        <x:v>hdlBits</x:v>
      </x:c>
      <x:c r="E493" s="15" t="str">
        <x:v>Combinational logic</x:v>
      </x:c>
      <x:c r="F493" s="15" t="str">
        <x:v>Input combinations and output mapping</x:v>
      </x:c>
      <x:c r="G493" s="15" t="str">
        <x:v>x, f</x:v>
      </x:c>
      <x:c r="H493" s="15" t="str">
        <x:v>Drive x through binary combinations when small; for vectors use zero, all ones, alternating bits and walking one/zero. Toggle one input at a time and include rapid changes after a previous nonzero result.</x:v>
      </x:c>
      <x:c r="I493" s="15" t="str">
        <x:v>Check f against an independently written truth table. Combinational results must settle without a clock or stale retained values. Source mapping: f = ~x[1] &amp; x[3] | ~x[2] &amp; ~x[4] | x[3] &amp; x[4] &amp; x[2].</x:v>
      </x:c>
      <x:c r="J493" s="17"/>
      <x:c r="K493" s="24"/>
      <x:c r="L493" s="17"/>
      <x:c r="M493" s="17" t="str">
        <x:v>Compile this exercise separately because many files declare top_module. Use the original exercise statement as an independent oracle; helper stubs establish elaboration only.</x:v>
      </x:c>
      <x:c r="N493" s="15" t="str">
        <x:v>HDLBits Attempt 1/study/solutions/Day 03/077-exams__2012_q1g.sv</x:v>
      </x:c>
      <x:c r="O493" s="26" t="str">
        <x:v>https://github.com/kapiltrip/hdlBits/blob/fc3f2b993a1e202ef42a8e831c29f8f287f85e7a/HDLBits%20Attempt%201/study/solutions/Day%2003/077-exams__2012_q1g.sv</x:v>
      </x:c>
      <x:c r="P493" s="15" t="str">
        <x:f>IF(B493="Done",IF(OR(J493="",K493="",L493=""),"Add run evidence","Recorded"),IF(OR(B493="Blocked",B493="N/A"),IF(M493="","Add reason","Reason recorded"),""))</x:f>
      </x:c>
      <x:c r="Q493" s="15" t="str">
        <x:v>fc3f2b993a1e202ef42a8e831c29f8f287f85e7a</x:v>
      </x:c>
    </x:row>
    <x:row r="494" ht="86" customHeight="1">
      <x:c r="A494" s="4" t="str">
        <x:v>HDL-078</x:v>
      </x:c>
      <x:c r="B494" s="23" t="str">
        <x:v>Blocked</x:v>
      </x:c>
      <x:c r="C494" s="20" t="str">
        <x:v>P0</x:v>
      </x:c>
      <x:c r="D494" s="4" t="str">
        <x:v>hdlBits</x:v>
      </x:c>
      <x:c r="E494" s="4" t="str">
        <x:v>Implementation prerequisite</x:v>
      </x:c>
      <x:c r="F494" s="4" t="str">
        <x:v>Define and implement top_module</x:v>
      </x:c>
      <x:c r="G494" s="4" t="str">
        <x:v>c, d, mux_in</x:v>
      </x:c>
      <x:c r="H494" s="4" t="str">
        <x:v>Complete the existing module/interface and write the intended port-level contract before attempting functional vectors. This plan does not implement it.</x:v>
      </x:c>
      <x:c r="I494" s="4" t="str">
        <x:v>A named module elaborates with driven outputs and a defined function. Current source is empty or malformed, so functional pass criteria cannot be inferred safely.</x:v>
      </x:c>
      <x:c r="J494" s="17"/>
      <x:c r="K494" s="24"/>
      <x:c r="L494" s="17"/>
      <x:c r="M494" s="17" t="str">
        <x:v>Existing stub; not a passing design.</x:v>
      </x:c>
      <x:c r="N494" s="4" t="str">
        <x:v>HDLBits Attempt 1/study/solutions/Day 03/078-exams__ece241_2014_q3.sv</x:v>
      </x:c>
      <x:c r="O494" s="25" t="str">
        <x:v>https://github.com/kapiltrip/hdlBits/blob/fc3f2b993a1e202ef42a8e831c29f8f287f85e7a/HDLBits%20Attempt%201/study/solutions/Day%2003/078-exams__ece241_2014_q3.sv</x:v>
      </x:c>
      <x:c r="P494" s="4" t="str">
        <x:f>IF(B494="Done",IF(OR(J494="",K494="",L494=""),"Add run evidence","Recorded"),IF(OR(B494="Blocked",B494="N/A"),IF(M494="","Add reason","Reason recorded"),""))</x:f>
        <x:v>Reason recorded</x:v>
      </x:c>
      <x:c r="Q494" s="4" t="str">
        <x:v>fc3f2b993a1e202ef42a8e831c29f8f287f85e7a</x:v>
      </x:c>
    </x:row>
    <x:row r="495" ht="86" customHeight="1">
      <x:c r="A495" s="15" t="str">
        <x:v>HDL-079</x:v>
      </x:c>
      <x:c r="B495" s="19" t="str">
        <x:v>Pending</x:v>
      </x:c>
      <x:c r="C495" s="15" t="str">
        <x:v>P1</x:v>
      </x:c>
      <x:c r="D495" s="15" t="str">
        <x:v>hdlBits</x:v>
      </x:c>
      <x:c r="E495" s="15" t="str">
        <x:v>Sequential logic</x:v>
      </x:c>
      <x:c r="F495" s="15" t="str">
        <x:v>Reset, control priority and cycle behavior</x:v>
      </x:c>
      <x:c r="G495" s="15" t="str">
        <x:v>clk, d, q</x:v>
      </x:c>
      <x:c r="H495" s="15" t="str">
        <x:v>For top_module, initialize through its reset/load path, then vary d before active edges. Cover each control combination, holds, boundary transitions and reset during activity. Clock/reset events in this source: posedge clk.</x:v>
      </x:c>
      <x:c r="I495" s="15" t="str">
        <x:v>Check q only at its defined valid time. Compare a cycle-by-cycle reference state/sequence, including reset polarity and priority. Sample registered results after nonblocking updates; combinational Mealy outputs may require a pre-edge check.</x:v>
      </x:c>
      <x:c r="J495" s="17"/>
      <x:c r="K495" s="24"/>
      <x:c r="L495" s="17"/>
      <x:c r="M495" s="17" t="str">
        <x:v>Compile this exercise separately because many files declare top_module. Use the original exercise statement as an independent oracle; helper stubs establish elaboration only.</x:v>
      </x:c>
      <x:c r="N495" s="15" t="str">
        <x:v>HDLBits Attempt 1/study/solutions/Day 03/079-dff.sv</x:v>
      </x:c>
      <x:c r="O495" s="26" t="str">
        <x:v>https://github.com/kapiltrip/hdlBits/blob/fc3f2b993a1e202ef42a8e831c29f8f287f85e7a/HDLBits%20Attempt%201/study/solutions/Day%2003/079-dff.sv</x:v>
      </x:c>
      <x:c r="P495" s="15" t="str">
        <x:f>IF(B495="Done",IF(OR(J495="",K495="",L495=""),"Add run evidence","Recorded"),IF(OR(B495="Blocked",B495="N/A"),IF(M495="","Add reason","Reason recorded"),""))</x:f>
      </x:c>
      <x:c r="Q495" s="15" t="str">
        <x:v>fc3f2b993a1e202ef42a8e831c29f8f287f85e7a</x:v>
      </x:c>
    </x:row>
    <x:row r="496" ht="86" customHeight="1">
      <x:c r="A496" s="4" t="str">
        <x:v>HDL-080</x:v>
      </x:c>
      <x:c r="B496" s="19" t="str">
        <x:v>Pending</x:v>
      </x:c>
      <x:c r="C496" s="4" t="str">
        <x:v>P1</x:v>
      </x:c>
      <x:c r="D496" s="4" t="str">
        <x:v>hdlBits</x:v>
      </x:c>
      <x:c r="E496" s="4" t="str">
        <x:v>Sequential logic</x:v>
      </x:c>
      <x:c r="F496" s="4" t="str">
        <x:v>Reset, control priority and cycle behavior</x:v>
      </x:c>
      <x:c r="G496" s="4" t="str">
        <x:v>clk, d, q</x:v>
      </x:c>
      <x:c r="H496" s="4" t="str">
        <x:v>For top_module, initialize through its reset/load path, then vary d before active edges. Cover each control combination, holds, boundary transitions and reset during activity. Clock/reset events in this source: posedge clk.</x:v>
      </x:c>
      <x:c r="I496" s="4" t="str">
        <x:v>Check q only at its defined valid time. Compare a cycle-by-cycle reference state/sequence, including reset polarity and priority. Sample registered results after nonblocking updates; combinational Mealy outputs may require a pre-edge check.</x:v>
      </x:c>
      <x:c r="J496" s="17"/>
      <x:c r="K496" s="24"/>
      <x:c r="L496" s="17"/>
      <x:c r="M496" s="17" t="str">
        <x:v>Compile this exercise separately because many files declare top_module. Use the original exercise statement as an independent oracle; helper stubs establish elaboration only.</x:v>
      </x:c>
      <x:c r="N496" s="4" t="str">
        <x:v>HDLBits Attempt 1/study/solutions/Day 03/080-dff8.sv</x:v>
      </x:c>
      <x:c r="O496" s="25" t="str">
        <x:v>https://github.com/kapiltrip/hdlBits/blob/fc3f2b993a1e202ef42a8e831c29f8f287f85e7a/HDLBits%20Attempt%201/study/solutions/Day%2003/080-dff8.sv</x:v>
      </x:c>
      <x:c r="P496" s="4" t="str">
        <x:f>IF(B496="Done",IF(OR(J496="",K496="",L496=""),"Add run evidence","Recorded"),IF(OR(B496="Blocked",B496="N/A"),IF(M496="","Add reason","Reason recorded"),""))</x:f>
      </x:c>
      <x:c r="Q496" s="4" t="str">
        <x:v>fc3f2b993a1e202ef42a8e831c29f8f287f85e7a</x:v>
      </x:c>
    </x:row>
    <x:row r="497" ht="86" customHeight="1">
      <x:c r="A497" s="15" t="str">
        <x:v>HDL-081</x:v>
      </x:c>
      <x:c r="B497" s="23" t="str">
        <x:v>Blocked</x:v>
      </x:c>
      <x:c r="C497" s="21" t="str">
        <x:v>P0</x:v>
      </x:c>
      <x:c r="D497" s="15" t="str">
        <x:v>hdlBits</x:v>
      </x:c>
      <x:c r="E497" s="15" t="str">
        <x:v>Implementation prerequisite</x:v>
      </x:c>
      <x:c r="F497" s="15" t="str">
        <x:v>Define and implement top_module</x:v>
      </x:c>
      <x:c r="G497" s="15" t="str">
        <x:v>clk, reset, d, q</x:v>
      </x:c>
      <x:c r="H497" s="15" t="str">
        <x:v>Complete the existing module/interface and write the intended port-level contract before attempting functional vectors. This plan does not implement it.</x:v>
      </x:c>
      <x:c r="I497" s="15" t="str">
        <x:v>A named module elaborates with driven outputs and a defined function. Current source is empty or malformed, so functional pass criteria cannot be inferred safely.</x:v>
      </x:c>
      <x:c r="J497" s="17"/>
      <x:c r="K497" s="24"/>
      <x:c r="L497" s="17"/>
      <x:c r="M497" s="17" t="str">
        <x:v>Existing stub; not a passing design.</x:v>
      </x:c>
      <x:c r="N497" s="15" t="str">
        <x:v>HDLBits Attempt 1/study/solutions/Day 03/081-dff8r.sv</x:v>
      </x:c>
      <x:c r="O497" s="26" t="str">
        <x:v>https://github.com/kapiltrip/hdlBits/blob/fc3f2b993a1e202ef42a8e831c29f8f287f85e7a/HDLBits%20Attempt%201/study/solutions/Day%2003/081-dff8r.sv</x:v>
      </x:c>
      <x:c r="P497" s="15" t="str">
        <x:f>IF(B497="Done",IF(OR(J497="",K497="",L497=""),"Add run evidence","Recorded"),IF(OR(B497="Blocked",B497="N/A"),IF(M497="","Add reason","Reason recorded"),""))</x:f>
        <x:v>Reason recorded</x:v>
      </x:c>
      <x:c r="Q497" s="15" t="str">
        <x:v>fc3f2b993a1e202ef42a8e831c29f8f287f85e7a</x:v>
      </x:c>
    </x:row>
    <x:row r="498" ht="86" customHeight="1">
      <x:c r="A498" s="4" t="str">
        <x:v>HDL-082</x:v>
      </x:c>
      <x:c r="B498" s="19" t="str">
        <x:v>Pending</x:v>
      </x:c>
      <x:c r="C498" s="4" t="str">
        <x:v>P1</x:v>
      </x:c>
      <x:c r="D498" s="4" t="str">
        <x:v>hdlBits</x:v>
      </x:c>
      <x:c r="E498" s="4" t="str">
        <x:v>Sequential logic</x:v>
      </x:c>
      <x:c r="F498" s="4" t="str">
        <x:v>Reset, control priority and cycle behavior</x:v>
      </x:c>
      <x:c r="G498" s="4" t="str">
        <x:v>clk, reset, d, q</x:v>
      </x:c>
      <x:c r="H498" s="4" t="str">
        <x:v>For top_module, initialize through its reset/load path, then vary d before active edges. Cover each control combination, holds, boundary transitions and reset during activity. Clock/reset events in this source: negedge clk.</x:v>
      </x:c>
      <x:c r="I498" s="4" t="str">
        <x:v>Check q only at its defined valid time. Compare a cycle-by-cycle reference state/sequence, including reset polarity and priority. Sample registered results after nonblocking updates; combinational Mealy outputs may require a pre-edge check.</x:v>
      </x:c>
      <x:c r="J498" s="17"/>
      <x:c r="K498" s="24"/>
      <x:c r="L498" s="17"/>
      <x:c r="M498" s="17" t="str">
        <x:v>Compile this exercise separately because many files declare top_module. Use the original exercise statement as an independent oracle; helper stubs establish elaboration only.</x:v>
      </x:c>
      <x:c r="N498" s="4" t="str">
        <x:v>HDLBits Attempt 1/study/solutions/Day 03/082-dff8p.sv</x:v>
      </x:c>
      <x:c r="O498" s="25" t="str">
        <x:v>https://github.com/kapiltrip/hdlBits/blob/fc3f2b993a1e202ef42a8e831c29f8f287f85e7a/HDLBits%20Attempt%201/study/solutions/Day%2003/082-dff8p.sv</x:v>
      </x:c>
      <x:c r="P498" s="4" t="str">
        <x:f>IF(B498="Done",IF(OR(J498="",K498="",L498=""),"Add run evidence","Recorded"),IF(OR(B498="Blocked",B498="N/A"),IF(M498="","Add reason","Reason recorded"),""))</x:f>
      </x:c>
      <x:c r="Q498" s="4" t="str">
        <x:v>fc3f2b993a1e202ef42a8e831c29f8f287f85e7a</x:v>
      </x:c>
    </x:row>
    <x:row r="499" ht="86" customHeight="1">
      <x:c r="A499" s="15" t="str">
        <x:v>HDL-083</x:v>
      </x:c>
      <x:c r="B499" s="19" t="str">
        <x:v>Pending</x:v>
      </x:c>
      <x:c r="C499" s="15" t="str">
        <x:v>P1</x:v>
      </x:c>
      <x:c r="D499" s="15" t="str">
        <x:v>hdlBits</x:v>
      </x:c>
      <x:c r="E499" s="15" t="str">
        <x:v>Sequential logic</x:v>
      </x:c>
      <x:c r="F499" s="15" t="str">
        <x:v>Reset, control priority and cycle behavior</x:v>
      </x:c>
      <x:c r="G499" s="15" t="str">
        <x:v>clk, areset, d, q</x:v>
      </x:c>
      <x:c r="H499" s="15" t="str">
        <x:v>For top_module, initialize through its reset/load path, then vary d before active edges. Cover each control combination, holds, boundary transitions and reset during activity. Clock/reset events in this source: posedge clk, posedge areset.</x:v>
      </x:c>
      <x:c r="I499" s="15" t="str">
        <x:v>Check q only at its defined valid time. Compare a cycle-by-cycle reference state/sequence, including reset polarity and priority. Sample registered results after nonblocking updates; combinational Mealy outputs may require a pre-edge check.</x:v>
      </x:c>
      <x:c r="J499" s="17"/>
      <x:c r="K499" s="24"/>
      <x:c r="L499" s="17"/>
      <x:c r="M499" s="17" t="str">
        <x:v>Compile this exercise separately because many files declare top_module. Use the original exercise statement as an independent oracle; helper stubs establish elaboration only.</x:v>
      </x:c>
      <x:c r="N499" s="15" t="str">
        <x:v>HDLBits Attempt 1/study/solutions/Day 03/083-dff8ar.sv</x:v>
      </x:c>
      <x:c r="O499" s="26" t="str">
        <x:v>https://github.com/kapiltrip/hdlBits/blob/fc3f2b993a1e202ef42a8e831c29f8f287f85e7a/HDLBits%20Attempt%201/study/solutions/Day%2003/083-dff8ar.sv</x:v>
      </x:c>
      <x:c r="P499" s="15" t="str">
        <x:f>IF(B499="Done",IF(OR(J499="",K499="",L499=""),"Add run evidence","Recorded"),IF(OR(B499="Blocked",B499="N/A"),IF(M499="","Add reason","Reason recorded"),""))</x:f>
      </x:c>
      <x:c r="Q499" s="15" t="str">
        <x:v>fc3f2b993a1e202ef42a8e831c29f8f287f85e7a</x:v>
      </x:c>
    </x:row>
    <x:row r="500" ht="86" customHeight="1">
      <x:c r="A500" s="4" t="str">
        <x:v>HDL-084</x:v>
      </x:c>
      <x:c r="B500" s="19" t="str">
        <x:v>Pending</x:v>
      </x:c>
      <x:c r="C500" s="4" t="str">
        <x:v>P1</x:v>
      </x:c>
      <x:c r="D500" s="4" t="str">
        <x:v>hdlBits</x:v>
      </x:c>
      <x:c r="E500" s="4" t="str">
        <x:v>Sequential logic</x:v>
      </x:c>
      <x:c r="F500" s="4" t="str">
        <x:v>Reset, control priority and cycle behavior</x:v>
      </x:c>
      <x:c r="G500" s="4" t="str">
        <x:v>clk, resetn, byteena, d, q</x:v>
      </x:c>
      <x:c r="H500" s="4" t="str">
        <x:v>For top_module, initialize through its reset/load path, then vary byteena, d before active edges. Cover each control combination, holds, boundary transitions and reset during activity. Clock/reset events in this source: posedge clk.</x:v>
      </x:c>
      <x:c r="I500" s="4" t="str">
        <x:v>Check q only at its defined valid time. Compare a cycle-by-cycle reference state/sequence, including reset polarity and priority. Sample registered results after nonblocking updates; combinational Mealy outputs may require a pre-edge check.</x:v>
      </x:c>
      <x:c r="J500" s="17"/>
      <x:c r="K500" s="24"/>
      <x:c r="L500" s="17"/>
      <x:c r="M500" s="17" t="str">
        <x:v>Compile this exercise separately because many files declare top_module. Use the original exercise statement as an independent oracle; helper stubs establish elaboration only.</x:v>
      </x:c>
      <x:c r="N500" s="4" t="str">
        <x:v>HDLBits Attempt 1/study/solutions/Day 03/084-dff16e.sv</x:v>
      </x:c>
      <x:c r="O500" s="25" t="str">
        <x:v>https://github.com/kapiltrip/hdlBits/blob/fc3f2b993a1e202ef42a8e831c29f8f287f85e7a/HDLBits%20Attempt%201/study/solutions/Day%2003/084-dff16e.sv</x:v>
      </x:c>
      <x:c r="P500" s="4" t="str">
        <x:f>IF(B500="Done",IF(OR(J500="",K500="",L500=""),"Add run evidence","Recorded"),IF(OR(B500="Blocked",B500="N/A"),IF(M500="","Add reason","Reason recorded"),""))</x:f>
      </x:c>
      <x:c r="Q500" s="4" t="str">
        <x:v>fc3f2b993a1e202ef42a8e831c29f8f287f85e7a</x:v>
      </x:c>
    </x:row>
    <x:row r="501" ht="86" customHeight="1">
      <x:c r="A501" s="15" t="str">
        <x:v>HDL-085</x:v>
      </x:c>
      <x:c r="B501" s="19" t="str">
        <x:v>Pending</x:v>
      </x:c>
      <x:c r="C501" s="15" t="str">
        <x:v>P1</x:v>
      </x:c>
      <x:c r="D501" s="15" t="str">
        <x:v>hdlBits</x:v>
      </x:c>
      <x:c r="E501" s="15" t="str">
        <x:v>Combinational logic</x:v>
      </x:c>
      <x:c r="F501" s="15" t="str">
        <x:v>Input combinations and output mapping</x:v>
      </x:c>
      <x:c r="G501" s="15" t="str">
        <x:v>d, ena, q</x:v>
      </x:c>
      <x:c r="H501" s="15" t="str">
        <x:v>Drive d, ena through binary combinations when small; for vectors use zero, all ones, alternating bits and walking one/zero. Toggle one input at a time and include rapid changes after a previous nonzero result.</x:v>
      </x:c>
      <x:c r="I501" s="15" t="str">
        <x:v>Check q against an independently written truth table. Combinational results must settle without a clock or stale retained values.</x:v>
      </x:c>
      <x:c r="J501" s="17"/>
      <x:c r="K501" s="24"/>
      <x:c r="L501" s="17"/>
      <x:c r="M501" s="17" t="str">
        <x:v>Compile this exercise separately because many files declare top_module. Use the original exercise statement as an independent oracle; helper stubs establish elaboration only.</x:v>
      </x:c>
      <x:c r="N501" s="15" t="str">
        <x:v>HDLBits Attempt 1/study/solutions/Day 03/085-exams__m2014_q4a.sv</x:v>
      </x:c>
      <x:c r="O501" s="26" t="str">
        <x:v>https://github.com/kapiltrip/hdlBits/blob/fc3f2b993a1e202ef42a8e831c29f8f287f85e7a/HDLBits%20Attempt%201/study/solutions/Day%2003/085-exams__m2014_q4a.sv</x:v>
      </x:c>
      <x:c r="P501" s="15" t="str">
        <x:f>IF(B501="Done",IF(OR(J501="",K501="",L501=""),"Add run evidence","Recorded"),IF(OR(B501="Blocked",B501="N/A"),IF(M501="","Add reason","Reason recorded"),""))</x:f>
      </x:c>
      <x:c r="Q501" s="15" t="str">
        <x:v>fc3f2b993a1e202ef42a8e831c29f8f287f85e7a</x:v>
      </x:c>
    </x:row>
    <x:row r="502" ht="86" customHeight="1">
      <x:c r="A502" s="4" t="str">
        <x:v>HDL-086</x:v>
      </x:c>
      <x:c r="B502" s="19" t="str">
        <x:v>Pending</x:v>
      </x:c>
      <x:c r="C502" s="4" t="str">
        <x:v>P1</x:v>
      </x:c>
      <x:c r="D502" s="4" t="str">
        <x:v>hdlBits</x:v>
      </x:c>
      <x:c r="E502" s="4" t="str">
        <x:v>Sequential logic</x:v>
      </x:c>
      <x:c r="F502" s="4" t="str">
        <x:v>Reset, control priority and cycle behavior</x:v>
      </x:c>
      <x:c r="G502" s="4" t="str">
        <x:v>clk, d, ar, q</x:v>
      </x:c>
      <x:c r="H502" s="4" t="str">
        <x:v>For top_module, initialize through its reset/load path, then vary d, ar before active edges. Cover each control combination, holds, boundary transitions and reset during activity. Clock/reset events in this source: posedge clk, posedge ar.</x:v>
      </x:c>
      <x:c r="I502" s="4" t="str">
        <x:v>Check q only at its defined valid time. Compare a cycle-by-cycle reference state/sequence, including reset polarity and priority. Sample registered results after nonblocking updates; combinational Mealy outputs may require a pre-edge check.</x:v>
      </x:c>
      <x:c r="J502" s="17"/>
      <x:c r="K502" s="24"/>
      <x:c r="L502" s="17"/>
      <x:c r="M502" s="17" t="str">
        <x:v>Compile this exercise separately because many files declare top_module. Use the original exercise statement as an independent oracle; helper stubs establish elaboration only.</x:v>
      </x:c>
      <x:c r="N502" s="4" t="str">
        <x:v>HDLBits Attempt 1/study/solutions/Day 03/086-exams__m2014_q4b.sv</x:v>
      </x:c>
      <x:c r="O502" s="25" t="str">
        <x:v>https://github.com/kapiltrip/hdlBits/blob/fc3f2b993a1e202ef42a8e831c29f8f287f85e7a/HDLBits%20Attempt%201/study/solutions/Day%2003/086-exams__m2014_q4b.sv</x:v>
      </x:c>
      <x:c r="P502" s="4" t="str">
        <x:f>IF(B502="Done",IF(OR(J502="",K502="",L502=""),"Add run evidence","Recorded"),IF(OR(B502="Blocked",B502="N/A"),IF(M502="","Add reason","Reason recorded"),""))</x:f>
      </x:c>
      <x:c r="Q502" s="4" t="str">
        <x:v>fc3f2b993a1e202ef42a8e831c29f8f287f85e7a</x:v>
      </x:c>
    </x:row>
    <x:row r="503" ht="86" customHeight="1">
      <x:c r="A503" s="15" t="str">
        <x:v>HDL-087</x:v>
      </x:c>
      <x:c r="B503" s="19" t="str">
        <x:v>Pending</x:v>
      </x:c>
      <x:c r="C503" s="15" t="str">
        <x:v>P1</x:v>
      </x:c>
      <x:c r="D503" s="15" t="str">
        <x:v>hdlBits</x:v>
      </x:c>
      <x:c r="E503" s="15" t="str">
        <x:v>Sequential logic</x:v>
      </x:c>
      <x:c r="F503" s="15" t="str">
        <x:v>Reset, control priority and cycle behavior</x:v>
      </x:c>
      <x:c r="G503" s="15" t="str">
        <x:v>clk, d, r, q</x:v>
      </x:c>
      <x:c r="H503" s="15" t="str">
        <x:v>For top_module, initialize through its reset/load path, then vary d, r before active edges. Cover each control combination, holds, boundary transitions and reset during activity. Clock/reset events in this source: posedge clk.</x:v>
      </x:c>
      <x:c r="I503" s="15" t="str">
        <x:v>Check q only at its defined valid time. Compare a cycle-by-cycle reference state/sequence, including reset polarity and priority. Sample registered results after nonblocking updates; combinational Mealy outputs may require a pre-edge check.</x:v>
      </x:c>
      <x:c r="J503" s="17"/>
      <x:c r="K503" s="24"/>
      <x:c r="L503" s="17"/>
      <x:c r="M503" s="17" t="str">
        <x:v>Compile this exercise separately because many files declare top_module. Use the original exercise statement as an independent oracle; helper stubs establish elaboration only.</x:v>
      </x:c>
      <x:c r="N503" s="15" t="str">
        <x:v>HDLBits Attempt 1/study/solutions/Day 03/087-exams__m2014_q4c.sv</x:v>
      </x:c>
      <x:c r="O503" s="26" t="str">
        <x:v>https://github.com/kapiltrip/hdlBits/blob/fc3f2b993a1e202ef42a8e831c29f8f287f85e7a/HDLBits%20Attempt%201/study/solutions/Day%2003/087-exams__m2014_q4c.sv</x:v>
      </x:c>
      <x:c r="P503" s="15" t="str">
        <x:f>IF(B503="Done",IF(OR(J503="",K503="",L503=""),"Add run evidence","Recorded"),IF(OR(B503="Blocked",B503="N/A"),IF(M503="","Add reason","Reason recorded"),""))</x:f>
      </x:c>
      <x:c r="Q503" s="15" t="str">
        <x:v>fc3f2b993a1e202ef42a8e831c29f8f287f85e7a</x:v>
      </x:c>
    </x:row>
    <x:row r="504" ht="86" customHeight="1">
      <x:c r="A504" s="4" t="str">
        <x:v>HDL-088</x:v>
      </x:c>
      <x:c r="B504" s="19" t="str">
        <x:v>Pending</x:v>
      </x:c>
      <x:c r="C504" s="4" t="str">
        <x:v>P1</x:v>
      </x:c>
      <x:c r="D504" s="4" t="str">
        <x:v>hdlBits</x:v>
      </x:c>
      <x:c r="E504" s="4" t="str">
        <x:v>Sequential logic</x:v>
      </x:c>
      <x:c r="F504" s="4" t="str">
        <x:v>Reset, control priority and cycle behavior</x:v>
      </x:c>
      <x:c r="G504" s="4" t="str">
        <x:v>clk, in, out</x:v>
      </x:c>
      <x:c r="H504" s="4" t="str">
        <x:v>For top_module, initialize through its reset/load path, then vary in before active edges. Cover each control combination, holds, boundary transitions and reset during activity. Clock/reset events in this source: posedge clk.</x:v>
      </x:c>
      <x:c r="I504" s="4" t="str">
        <x:v>Check out only at its defined valid time. Compare a cycle-by-cycle reference state/sequence, including reset polarity and priority. Sample registered results after nonblocking updates; combinational Mealy outputs may require a pre-edge check.</x:v>
      </x:c>
      <x:c r="J504" s="17"/>
      <x:c r="K504" s="24"/>
      <x:c r="L504" s="17"/>
      <x:c r="M504" s="17" t="str">
        <x:v>Compile this exercise separately because many files declare top_module. Use the original exercise statement as an independent oracle; helper stubs establish elaboration only.</x:v>
      </x:c>
      <x:c r="N504" s="4" t="str">
        <x:v>HDLBits Attempt 1/study/solutions/Day 03/088-exams__m2014_q4d.sv</x:v>
      </x:c>
      <x:c r="O504" s="25" t="str">
        <x:v>https://github.com/kapiltrip/hdlBits/blob/fc3f2b993a1e202ef42a8e831c29f8f287f85e7a/HDLBits%20Attempt%201/study/solutions/Day%2003/088-exams__m2014_q4d.sv</x:v>
      </x:c>
      <x:c r="P504" s="4" t="str">
        <x:f>IF(B504="Done",IF(OR(J504="",K504="",L504=""),"Add run evidence","Recorded"),IF(OR(B504="Blocked",B504="N/A"),IF(M504="","Add reason","Reason recorded"),""))</x:f>
      </x:c>
      <x:c r="Q504" s="4" t="str">
        <x:v>fc3f2b993a1e202ef42a8e831c29f8f287f85e7a</x:v>
      </x:c>
    </x:row>
    <x:row r="505" ht="86" customHeight="1">
      <x:c r="A505" s="15" t="str">
        <x:v>HDL-089</x:v>
      </x:c>
      <x:c r="B505" s="19" t="str">
        <x:v>Pending</x:v>
      </x:c>
      <x:c r="C505" s="15" t="str">
        <x:v>P1</x:v>
      </x:c>
      <x:c r="D505" s="15" t="str">
        <x:v>hdlBits</x:v>
      </x:c>
      <x:c r="E505" s="15" t="str">
        <x:v>Sequential logic</x:v>
      </x:c>
      <x:c r="F505" s="15" t="str">
        <x:v>Reset, control priority and cycle behavior</x:v>
      </x:c>
      <x:c r="G505" s="15" t="str">
        <x:v>clk, L, r_in, q_in, Q</x:v>
      </x:c>
      <x:c r="H505" s="15" t="str">
        <x:v>For top_module, initialize through its reset/load path, then vary L, r_in, q_in before active edges. Cover each control combination, holds, boundary transitions and reset during activity. Clock/reset events in this source: posedge clk.</x:v>
      </x:c>
      <x:c r="I505" s="15" t="str">
        <x:v>Check Q only at its defined valid time. Compare a cycle-by-cycle reference state/sequence, including reset polarity and priority. Sample registered results after nonblocking updates; combinational Mealy outputs may require a pre-edge check.</x:v>
      </x:c>
      <x:c r="J505" s="17"/>
      <x:c r="K505" s="24"/>
      <x:c r="L505" s="17"/>
      <x:c r="M505" s="17" t="str">
        <x:v>Compile this exercise separately because many files declare top_module. Use the original exercise statement as an independent oracle; helper stubs establish elaboration only.</x:v>
      </x:c>
      <x:c r="N505" s="15" t="str">
        <x:v>HDLBits Attempt 1/study/solutions/Day 04/089-mt2015_muxdff.sv</x:v>
      </x:c>
      <x:c r="O505" s="26" t="str">
        <x:v>https://github.com/kapiltrip/hdlBits/blob/fc3f2b993a1e202ef42a8e831c29f8f287f85e7a/HDLBits%20Attempt%201/study/solutions/Day%2004/089-mt2015_muxdff.sv</x:v>
      </x:c>
      <x:c r="P505" s="15" t="str">
        <x:f>IF(B505="Done",IF(OR(J505="",K505="",L505=""),"Add run evidence","Recorded"),IF(OR(B505="Blocked",B505="N/A"),IF(M505="","Add reason","Reason recorded"),""))</x:f>
      </x:c>
      <x:c r="Q505" s="15" t="str">
        <x:v>fc3f2b993a1e202ef42a8e831c29f8f287f85e7a</x:v>
      </x:c>
    </x:row>
    <x:row r="506" ht="86" customHeight="1">
      <x:c r="A506" s="4" t="str">
        <x:v>HDL-090</x:v>
      </x:c>
      <x:c r="B506" s="19" t="str">
        <x:v>Pending</x:v>
      </x:c>
      <x:c r="C506" s="4" t="str">
        <x:v>P1</x:v>
      </x:c>
      <x:c r="D506" s="4" t="str">
        <x:v>hdlBits</x:v>
      </x:c>
      <x:c r="E506" s="4" t="str">
        <x:v>Sequential logic</x:v>
      </x:c>
      <x:c r="F506" s="4" t="str">
        <x:v>Reset, control priority and cycle behavior</x:v>
      </x:c>
      <x:c r="G506" s="4" t="str">
        <x:v>clk, w, R, E, L, Q</x:v>
      </x:c>
      <x:c r="H506" s="4" t="str">
        <x:v>For top_module, initialize through its reset/load path, then vary w, R, E, L before active edges. Cover each control combination, holds, boundary transitions and reset during activity. Clock/reset events in this source: posedge clk.</x:v>
      </x:c>
      <x:c r="I506" s="4" t="str">
        <x:v>Check Q only at its defined valid time. Compare a cycle-by-cycle reference state/sequence, including reset polarity and priority. Sample registered results after nonblocking updates; combinational Mealy outputs may require a pre-edge check.</x:v>
      </x:c>
      <x:c r="J506" s="17"/>
      <x:c r="K506" s="24"/>
      <x:c r="L506" s="17"/>
      <x:c r="M506" s="17" t="str">
        <x:v>Compile this exercise separately because many files declare top_module. Use the original exercise statement as an independent oracle; helper stubs establish elaboration only.</x:v>
      </x:c>
      <x:c r="N506" s="4" t="str">
        <x:v>HDLBits Attempt 1/study/solutions/Day 04/090-exams__2014_q4a.sv</x:v>
      </x:c>
      <x:c r="O506" s="25" t="str">
        <x:v>https://github.com/kapiltrip/hdlBits/blob/fc3f2b993a1e202ef42a8e831c29f8f287f85e7a/HDLBits%20Attempt%201/study/solutions/Day%2004/090-exams__2014_q4a.sv</x:v>
      </x:c>
      <x:c r="P506" s="4" t="str">
        <x:f>IF(B506="Done",IF(OR(J506="",K506="",L506=""),"Add run evidence","Recorded"),IF(OR(B506="Blocked",B506="N/A"),IF(M506="","Add reason","Reason recorded"),""))</x:f>
      </x:c>
      <x:c r="Q506" s="4" t="str">
        <x:v>fc3f2b993a1e202ef42a8e831c29f8f287f85e7a</x:v>
      </x:c>
    </x:row>
    <x:row r="507" ht="86" customHeight="1">
      <x:c r="A507" s="15" t="str">
        <x:v>HDL-091</x:v>
      </x:c>
      <x:c r="B507" s="19" t="str">
        <x:v>Pending</x:v>
      </x:c>
      <x:c r="C507" s="15" t="str">
        <x:v>P1</x:v>
      </x:c>
      <x:c r="D507" s="15" t="str">
        <x:v>hdlBits</x:v>
      </x:c>
      <x:c r="E507" s="15" t="str">
        <x:v>Sequential logic</x:v>
      </x:c>
      <x:c r="F507" s="15" t="str">
        <x:v>Reset, control priority and cycle behavior</x:v>
      </x:c>
      <x:c r="G507" s="15" t="str">
        <x:v>clk, x, z</x:v>
      </x:c>
      <x:c r="H507" s="15" t="str">
        <x:v>For top_module, initialize through its reset/load path, then vary x before active edges. Cover each control combination, holds, boundary transitions and reset during activity. Clock/reset events in this source: posedge clk.</x:v>
      </x:c>
      <x:c r="I507" s="15" t="str">
        <x:v>Check z only at its defined valid time. Compare a cycle-by-cycle reference state/sequence, including reset polarity and priority. Sample registered results after nonblocking updates; combinational Mealy outputs may require a pre-edge check. Source mapping: z = ~(q1 | q2 | q3).</x:v>
      </x:c>
      <x:c r="J507" s="17"/>
      <x:c r="K507" s="24"/>
      <x:c r="L507" s="17"/>
      <x:c r="M507" s="17" t="str">
        <x:v>Compile this exercise separately because many files declare top_module. Use the original exercise statement as an independent oracle; helper stubs establish elaboration only.</x:v>
      </x:c>
      <x:c r="N507" s="15" t="str">
        <x:v>HDLBits Attempt 1/study/solutions/Day 04/091-exams__ece241_2014_q4.sv</x:v>
      </x:c>
      <x:c r="O507" s="26" t="str">
        <x:v>https://github.com/kapiltrip/hdlBits/blob/fc3f2b993a1e202ef42a8e831c29f8f287f85e7a/HDLBits%20Attempt%201/study/solutions/Day%2004/091-exams__ece241_2014_q4.sv</x:v>
      </x:c>
      <x:c r="P507" s="15" t="str">
        <x:f>IF(B507="Done",IF(OR(J507="",K507="",L507=""),"Add run evidence","Recorded"),IF(OR(B507="Blocked",B507="N/A"),IF(M507="","Add reason","Reason recorded"),""))</x:f>
      </x:c>
      <x:c r="Q507" s="15" t="str">
        <x:v>fc3f2b993a1e202ef42a8e831c29f8f287f85e7a</x:v>
      </x:c>
    </x:row>
    <x:row r="508" ht="86" customHeight="1">
      <x:c r="A508" s="4" t="str">
        <x:v>HDL-092</x:v>
      </x:c>
      <x:c r="B508" s="23" t="str">
        <x:v>Blocked</x:v>
      </x:c>
      <x:c r="C508" s="20" t="str">
        <x:v>P0</x:v>
      </x:c>
      <x:c r="D508" s="4" t="str">
        <x:v>hdlBits</x:v>
      </x:c>
      <x:c r="E508" s="4" t="str">
        <x:v>Implementation prerequisite</x:v>
      </x:c>
      <x:c r="F508" s="4" t="str">
        <x:v>Define and implement top_module</x:v>
      </x:c>
      <x:c r="G508" s="4" t="str">
        <x:v>clk, j, k, Q</x:v>
      </x:c>
      <x:c r="H508" s="4" t="str">
        <x:v>Complete the existing module/interface and write the intended port-level contract before attempting functional vectors. This plan does not implement it.</x:v>
      </x:c>
      <x:c r="I508" s="4" t="str">
        <x:v>A named module elaborates with driven outputs and a defined function. Current source is empty or malformed, so functional pass criteria cannot be inferred safely.</x:v>
      </x:c>
      <x:c r="J508" s="17"/>
      <x:c r="K508" s="24"/>
      <x:c r="L508" s="17"/>
      <x:c r="M508" s="17" t="str">
        <x:v>Existing stub; not a passing design.</x:v>
      </x:c>
      <x:c r="N508" s="4" t="str">
        <x:v>HDLBits Attempt 1/study/solutions/Day 04/092-exams__ece241_2013_q7.sv</x:v>
      </x:c>
      <x:c r="O508" s="25" t="str">
        <x:v>https://github.com/kapiltrip/hdlBits/blob/fc3f2b993a1e202ef42a8e831c29f8f287f85e7a/HDLBits%20Attempt%201/study/solutions/Day%2004/092-exams__ece241_2013_q7.sv</x:v>
      </x:c>
      <x:c r="P508" s="4" t="str">
        <x:f>IF(B508="Done",IF(OR(J508="",K508="",L508=""),"Add run evidence","Recorded"),IF(OR(B508="Blocked",B508="N/A"),IF(M508="","Add reason","Reason recorded"),""))</x:f>
        <x:v>Reason recorded</x:v>
      </x:c>
      <x:c r="Q508" s="4" t="str">
        <x:v>fc3f2b993a1e202ef42a8e831c29f8f287f85e7a</x:v>
      </x:c>
    </x:row>
    <x:row r="509" ht="86" customHeight="1">
      <x:c r="A509" s="15" t="str">
        <x:v>HDL-093</x:v>
      </x:c>
      <x:c r="B509" s="19" t="str">
        <x:v>Pending</x:v>
      </x:c>
      <x:c r="C509" s="15" t="str">
        <x:v>P1</x:v>
      </x:c>
      <x:c r="D509" s="15" t="str">
        <x:v>hdlBits</x:v>
      </x:c>
      <x:c r="E509" s="15" t="str">
        <x:v>Sequential logic</x:v>
      </x:c>
      <x:c r="F509" s="15" t="str">
        <x:v>Reset, control priority and cycle behavior</x:v>
      </x:c>
      <x:c r="G509" s="15" t="str">
        <x:v>clk, in, pedge</x:v>
      </x:c>
      <x:c r="H509" s="15" t="str">
        <x:v>For top_module, initialize through its reset/load path, then vary in before active edges. Cover each control combination, holds, boundary transitions and reset during activity. Clock/reset events in this source: posedge clk.</x:v>
      </x:c>
      <x:c r="I509" s="15" t="str">
        <x:v>Check pedge only at its defined valid time. Compare a cycle-by-cycle reference state/sequence, including reset polarity and priority. Sample registered results after nonblocking updates; combinational Mealy outputs may require a pre-edge check.</x:v>
      </x:c>
      <x:c r="J509" s="17"/>
      <x:c r="K509" s="24"/>
      <x:c r="L509" s="17"/>
      <x:c r="M509" s="17" t="str">
        <x:v>Compile this exercise separately because many files declare top_module. Use the original exercise statement as an independent oracle; helper stubs establish elaboration only.</x:v>
      </x:c>
      <x:c r="N509" s="15" t="str">
        <x:v>HDLBits Attempt 1/study/solutions/Day 04/093-edgedetect.sv</x:v>
      </x:c>
      <x:c r="O509" s="26" t="str">
        <x:v>https://github.com/kapiltrip/hdlBits/blob/fc3f2b993a1e202ef42a8e831c29f8f287f85e7a/HDLBits%20Attempt%201/study/solutions/Day%2004/093-edgedetect.sv</x:v>
      </x:c>
      <x:c r="P509" s="15" t="str">
        <x:f>IF(B509="Done",IF(OR(J509="",K509="",L509=""),"Add run evidence","Recorded"),IF(OR(B509="Blocked",B509="N/A"),IF(M509="","Add reason","Reason recorded"),""))</x:f>
      </x:c>
      <x:c r="Q509" s="15" t="str">
        <x:v>fc3f2b993a1e202ef42a8e831c29f8f287f85e7a</x:v>
      </x:c>
    </x:row>
    <x:row r="510" ht="86" customHeight="1">
      <x:c r="A510" s="4" t="str">
        <x:v>HDL-094</x:v>
      </x:c>
      <x:c r="B510" s="19" t="str">
        <x:v>Pending</x:v>
      </x:c>
      <x:c r="C510" s="4" t="str">
        <x:v>P1</x:v>
      </x:c>
      <x:c r="D510" s="4" t="str">
        <x:v>hdlBits</x:v>
      </x:c>
      <x:c r="E510" s="4" t="str">
        <x:v>Sequential logic</x:v>
      </x:c>
      <x:c r="F510" s="4" t="str">
        <x:v>Reset, control priority and cycle behavior</x:v>
      </x:c>
      <x:c r="G510" s="4" t="str">
        <x:v>clk, in, anyedge</x:v>
      </x:c>
      <x:c r="H510" s="4" t="str">
        <x:v>For top_module, initialize through its reset/load path, then vary in before active edges. Cover each control combination, holds, boundary transitions and reset during activity. Clock/reset events in this source: posedge clk.</x:v>
      </x:c>
      <x:c r="I510" s="4" t="str">
        <x:v>Check anyedge only at its defined valid time. Compare a cycle-by-cycle reference state/sequence, including reset polarity and priority. Sample registered results after nonblocking updates; combinational Mealy outputs may require a pre-edge check.</x:v>
      </x:c>
      <x:c r="J510" s="17"/>
      <x:c r="K510" s="24"/>
      <x:c r="L510" s="17"/>
      <x:c r="M510" s="17" t="str">
        <x:v>Compile this exercise separately because many files declare top_module. Use the original exercise statement as an independent oracle; helper stubs establish elaboration only.</x:v>
      </x:c>
      <x:c r="N510" s="4" t="str">
        <x:v>HDLBits Attempt 1/study/solutions/Day 04/094-edgedetect2.sv</x:v>
      </x:c>
      <x:c r="O510" s="25" t="str">
        <x:v>https://github.com/kapiltrip/hdlBits/blob/fc3f2b993a1e202ef42a8e831c29f8f287f85e7a/HDLBits%20Attempt%201/study/solutions/Day%2004/094-edgedetect2.sv</x:v>
      </x:c>
      <x:c r="P510" s="4" t="str">
        <x:f>IF(B510="Done",IF(OR(J510="",K510="",L510=""),"Add run evidence","Recorded"),IF(OR(B510="Blocked",B510="N/A"),IF(M510="","Add reason","Reason recorded"),""))</x:f>
      </x:c>
      <x:c r="Q510" s="4" t="str">
        <x:v>fc3f2b993a1e202ef42a8e831c29f8f287f85e7a</x:v>
      </x:c>
    </x:row>
    <x:row r="511" ht="86" customHeight="1">
      <x:c r="A511" s="15" t="str">
        <x:v>HDL-095</x:v>
      </x:c>
      <x:c r="B511" s="23" t="str">
        <x:v>Blocked</x:v>
      </x:c>
      <x:c r="C511" s="21" t="str">
        <x:v>P0</x:v>
      </x:c>
      <x:c r="D511" s="15" t="str">
        <x:v>hdlBits</x:v>
      </x:c>
      <x:c r="E511" s="15" t="str">
        <x:v>Implementation prerequisite</x:v>
      </x:c>
      <x:c r="F511" s="15" t="str">
        <x:v>Define and implement top_module</x:v>
      </x:c>
      <x:c r="G511" s="15" t="str">
        <x:v>clk, reset, in, out</x:v>
      </x:c>
      <x:c r="H511" s="15" t="str">
        <x:v>Complete the existing module/interface and write the intended port-level contract before attempting functional vectors. This plan does not implement it.</x:v>
      </x:c>
      <x:c r="I511" s="15" t="str">
        <x:v>A named module elaborates with driven outputs and a defined function. Current source is empty or malformed, so functional pass criteria cannot be inferred safely.</x:v>
      </x:c>
      <x:c r="J511" s="17"/>
      <x:c r="K511" s="24"/>
      <x:c r="L511" s="17"/>
      <x:c r="M511" s="17" t="str">
        <x:v>Existing stub; not a passing design.</x:v>
      </x:c>
      <x:c r="N511" s="15" t="str">
        <x:v>HDLBits Attempt 1/study/solutions/Day 04/095-edgecapture.sv</x:v>
      </x:c>
      <x:c r="O511" s="26" t="str">
        <x:v>https://github.com/kapiltrip/hdlBits/blob/fc3f2b993a1e202ef42a8e831c29f8f287f85e7a/HDLBits%20Attempt%201/study/solutions/Day%2004/095-edgecapture.sv</x:v>
      </x:c>
      <x:c r="P511" s="15" t="str">
        <x:f>IF(B511="Done",IF(OR(J511="",K511="",L511=""),"Add run evidence","Recorded"),IF(OR(B511="Blocked",B511="N/A"),IF(M511="","Add reason","Reason recorded"),""))</x:f>
        <x:v>Reason recorded</x:v>
      </x:c>
      <x:c r="Q511" s="15" t="str">
        <x:v>fc3f2b993a1e202ef42a8e831c29f8f287f85e7a</x:v>
      </x:c>
    </x:row>
    <x:row r="512" ht="86" customHeight="1">
      <x:c r="A512" s="4" t="str">
        <x:v>HDL-096</x:v>
      </x:c>
      <x:c r="B512" s="19" t="str">
        <x:v>Pending</x:v>
      </x:c>
      <x:c r="C512" s="4" t="str">
        <x:v>P1</x:v>
      </x:c>
      <x:c r="D512" s="4" t="str">
        <x:v>hdlBits</x:v>
      </x:c>
      <x:c r="E512" s="4" t="str">
        <x:v>Sequential logic</x:v>
      </x:c>
      <x:c r="F512" s="4" t="str">
        <x:v>Reset, control priority and cycle behavior</x:v>
      </x:c>
      <x:c r="G512" s="4" t="str">
        <x:v>clk, d, q</x:v>
      </x:c>
      <x:c r="H512" s="4" t="str">
        <x:v>For top_module, initialize through its reset/load path, then vary d before active edges. Cover each control combination, holds, boundary transitions and reset during activity. Clock/reset events in this source: posedge clk, negedge clk.</x:v>
      </x:c>
      <x:c r="I512" s="4" t="str">
        <x:v>Check q only at its defined valid time. Compare a cycle-by-cycle reference state/sequence, including reset polarity and priority. Sample registered results after nonblocking updates; combinational Mealy outputs may require a pre-edge check. Source mapping: q = (clk) ? pos:neg.</x:v>
      </x:c>
      <x:c r="J512" s="17"/>
      <x:c r="K512" s="24"/>
      <x:c r="L512" s="17"/>
      <x:c r="M512" s="17" t="str">
        <x:v>Compile this exercise separately because many files declare top_module. Use the original exercise statement as an independent oracle; helper stubs establish elaboration only.</x:v>
      </x:c>
      <x:c r="N512" s="4" t="str">
        <x:v>HDLBits Attempt 1/study/solutions/Day 04/096-dualedge.sv</x:v>
      </x:c>
      <x:c r="O512" s="25" t="str">
        <x:v>https://github.com/kapiltrip/hdlBits/blob/fc3f2b993a1e202ef42a8e831c29f8f287f85e7a/HDLBits%20Attempt%201/study/solutions/Day%2004/096-dualedge.sv</x:v>
      </x:c>
      <x:c r="P512" s="4" t="str">
        <x:f>IF(B512="Done",IF(OR(J512="",K512="",L512=""),"Add run evidence","Recorded"),IF(OR(B512="Blocked",B512="N/A"),IF(M512="","Add reason","Reason recorded"),""))</x:f>
      </x:c>
      <x:c r="Q512" s="4" t="str">
        <x:v>fc3f2b993a1e202ef42a8e831c29f8f287f85e7a</x:v>
      </x:c>
    </x:row>
    <x:row r="513" ht="86" customHeight="1">
      <x:c r="A513" s="15" t="str">
        <x:v>HDL-097</x:v>
      </x:c>
      <x:c r="B513" s="19" t="str">
        <x:v>Pending</x:v>
      </x:c>
      <x:c r="C513" s="15" t="str">
        <x:v>P1</x:v>
      </x:c>
      <x:c r="D513" s="15" t="str">
        <x:v>hdlBits</x:v>
      </x:c>
      <x:c r="E513" s="15" t="str">
        <x:v>Counter</x:v>
      </x:c>
      <x:c r="F513" s="15" t="str">
        <x:v>Reset, rollover and control priority</x:v>
      </x:c>
      <x:c r="G513" s="15" t="str">
        <x:v>clk, reset, q</x:v>
      </x:c>
      <x:c r="H513" s="15" t="str">
        <x:v>Initialize top_module; test every enable/load/direction combination in clk, reset. Run past both wrap boundaries and reassert reset away from and on active clock edges.</x:v>
      </x:c>
      <x:c r="I513" s="15" t="str">
        <x:v>q follows the stated binary/BCD/modulo range and reset value. Count accepted enabled edges only, verify hold when specified, and check load versus count priority. A source without enable free-runs. Source mapping: q = count.</x:v>
      </x:c>
      <x:c r="J513" s="17"/>
      <x:c r="K513" s="24"/>
      <x:c r="L513" s="17"/>
      <x:c r="M513" s="17" t="str">
        <x:v>Compile this exercise separately because many files declare top_module. Use the original exercise statement as an independent oracle; helper stubs establish elaboration only.</x:v>
      </x:c>
      <x:c r="N513" s="15" t="str">
        <x:v>HDLBits Attempt 1/study/solutions/Day 04/097-count15.sv</x:v>
      </x:c>
      <x:c r="O513" s="26" t="str">
        <x:v>https://github.com/kapiltrip/hdlBits/blob/fc3f2b993a1e202ef42a8e831c29f8f287f85e7a/HDLBits%20Attempt%201/study/solutions/Day%2004/097-count15.sv</x:v>
      </x:c>
      <x:c r="P513" s="15" t="str">
        <x:f>IF(B513="Done",IF(OR(J513="",K513="",L513=""),"Add run evidence","Recorded"),IF(OR(B513="Blocked",B513="N/A"),IF(M513="","Add reason","Reason recorded"),""))</x:f>
      </x:c>
      <x:c r="Q513" s="15" t="str">
        <x:v>fc3f2b993a1e202ef42a8e831c29f8f287f85e7a</x:v>
      </x:c>
    </x:row>
    <x:row r="514" ht="86" customHeight="1">
      <x:c r="A514" s="4" t="str">
        <x:v>HDL-098</x:v>
      </x:c>
      <x:c r="B514" s="19" t="str">
        <x:v>Pending</x:v>
      </x:c>
      <x:c r="C514" s="4" t="str">
        <x:v>P1</x:v>
      </x:c>
      <x:c r="D514" s="4" t="str">
        <x:v>hdlBits</x:v>
      </x:c>
      <x:c r="E514" s="4" t="str">
        <x:v>Counter</x:v>
      </x:c>
      <x:c r="F514" s="4" t="str">
        <x:v>Reset, rollover and control priority</x:v>
      </x:c>
      <x:c r="G514" s="4" t="str">
        <x:v>clk, reset, q</x:v>
      </x:c>
      <x:c r="H514" s="4" t="str">
        <x:v>Initialize top_module; test every enable/load/direction combination in clk, reset. Run past both wrap boundaries and reassert reset away from and on active clock edges.</x:v>
      </x:c>
      <x:c r="I514" s="4" t="str">
        <x:v>q follows the stated binary/BCD/modulo range and reset value. Count accepted enabled edges only, verify hold when specified, and check load versus count priority. A source without enable free-runs. Source mapping: q = count.</x:v>
      </x:c>
      <x:c r="J514" s="17"/>
      <x:c r="K514" s="24"/>
      <x:c r="L514" s="17"/>
      <x:c r="M514" s="17" t="str">
        <x:v>Compile this exercise separately because many files declare top_module. Use the original exercise statement as an independent oracle; helper stubs establish elaboration only.</x:v>
      </x:c>
      <x:c r="N514" s="4" t="str">
        <x:v>HDLBits Attempt 1/study/solutions/Day 04/098-count10.sv</x:v>
      </x:c>
      <x:c r="O514" s="25" t="str">
        <x:v>https://github.com/kapiltrip/hdlBits/blob/fc3f2b993a1e202ef42a8e831c29f8f287f85e7a/HDLBits%20Attempt%201/study/solutions/Day%2004/098-count10.sv</x:v>
      </x:c>
      <x:c r="P514" s="4" t="str">
        <x:f>IF(B514="Done",IF(OR(J514="",K514="",L514=""),"Add run evidence","Recorded"),IF(OR(B514="Blocked",B514="N/A"),IF(M514="","Add reason","Reason recorded"),""))</x:f>
      </x:c>
      <x:c r="Q514" s="4" t="str">
        <x:v>fc3f2b993a1e202ef42a8e831c29f8f287f85e7a</x:v>
      </x:c>
    </x:row>
    <x:row r="515" ht="86" customHeight="1">
      <x:c r="A515" s="15" t="str">
        <x:v>HDL-099</x:v>
      </x:c>
      <x:c r="B515" s="23" t="str">
        <x:v>Blocked</x:v>
      </x:c>
      <x:c r="C515" s="21" t="str">
        <x:v>P0</x:v>
      </x:c>
      <x:c r="D515" s="15" t="str">
        <x:v>hdlBits</x:v>
      </x:c>
      <x:c r="E515" s="15" t="str">
        <x:v>Implementation prerequisite</x:v>
      </x:c>
      <x:c r="F515" s="15" t="str">
        <x:v>Define and implement top_module</x:v>
      </x:c>
      <x:c r="G515" s="15" t="str">
        <x:v>clk, reset, q</x:v>
      </x:c>
      <x:c r="H515" s="15" t="str">
        <x:v>Complete the existing module/interface and write the intended port-level contract before attempting functional vectors. This plan does not implement it.</x:v>
      </x:c>
      <x:c r="I515" s="15" t="str">
        <x:v>A named module elaborates with driven outputs and a defined function. Current source is empty or malformed, so functional pass criteria cannot be inferred safely.</x:v>
      </x:c>
      <x:c r="J515" s="17"/>
      <x:c r="K515" s="24"/>
      <x:c r="L515" s="17"/>
      <x:c r="M515" s="17" t="str">
        <x:v>Existing stub; not a passing design.</x:v>
      </x:c>
      <x:c r="N515" s="15" t="str">
        <x:v>HDLBits Attempt 1/study/solutions/Day 04/099-count1to10.sv</x:v>
      </x:c>
      <x:c r="O515" s="26" t="str">
        <x:v>https://github.com/kapiltrip/hdlBits/blob/fc3f2b993a1e202ef42a8e831c29f8f287f85e7a/HDLBits%20Attempt%201/study/solutions/Day%2004/099-count1to10.sv</x:v>
      </x:c>
      <x:c r="P515" s="15" t="str">
        <x:f>IF(B515="Done",IF(OR(J515="",K515="",L515=""),"Add run evidence","Recorded"),IF(OR(B515="Blocked",B515="N/A"),IF(M515="","Add reason","Reason recorded"),""))</x:f>
        <x:v>Reason recorded</x:v>
      </x:c>
      <x:c r="Q515" s="15" t="str">
        <x:v>fc3f2b993a1e202ef42a8e831c29f8f287f85e7a</x:v>
      </x:c>
    </x:row>
    <x:row r="516" ht="86" customHeight="1">
      <x:c r="A516" s="4" t="str">
        <x:v>HDL-100</x:v>
      </x:c>
      <x:c r="B516" s="19" t="str">
        <x:v>Pending</x:v>
      </x:c>
      <x:c r="C516" s="4" t="str">
        <x:v>P1</x:v>
      </x:c>
      <x:c r="D516" s="4" t="str">
        <x:v>hdlBits</x:v>
      </x:c>
      <x:c r="E516" s="4" t="str">
        <x:v>Counter</x:v>
      </x:c>
      <x:c r="F516" s="4" t="str">
        <x:v>Reset, rollover and control priority</x:v>
      </x:c>
      <x:c r="G516" s="4" t="str">
        <x:v>clk, slowena, reset, q</x:v>
      </x:c>
      <x:c r="H516" s="4" t="str">
        <x:v>Initialize top_module; test every enable/load/direction combination in clk, slowena, reset. Run past both wrap boundaries and reassert reset away from and on active clock edges.</x:v>
      </x:c>
      <x:c r="I516" s="4" t="str">
        <x:v>q follows the stated binary/BCD/modulo range and reset value. Count accepted enabled edges only, verify hold when specified, and check load versus count priority. A source without enable free-runs. Source mapping: q = count.</x:v>
      </x:c>
      <x:c r="J516" s="17"/>
      <x:c r="K516" s="24"/>
      <x:c r="L516" s="17"/>
      <x:c r="M516" s="17" t="str">
        <x:v>Compile this exercise separately because many files declare top_module. Use the original exercise statement as an independent oracle; helper stubs establish elaboration only.</x:v>
      </x:c>
      <x:c r="N516" s="4" t="str">
        <x:v>HDLBits Attempt 1/study/solutions/Day 04/100-countslow.sv</x:v>
      </x:c>
      <x:c r="O516" s="25" t="str">
        <x:v>https://github.com/kapiltrip/hdlBits/blob/fc3f2b993a1e202ef42a8e831c29f8f287f85e7a/HDLBits%20Attempt%201/study/solutions/Day%2004/100-countslow.sv</x:v>
      </x:c>
      <x:c r="P516" s="4" t="str">
        <x:f>IF(B516="Done",IF(OR(J516="",K516="",L516=""),"Add run evidence","Recorded"),IF(OR(B516="Blocked",B516="N/A"),IF(M516="","Add reason","Reason recorded"),""))</x:f>
      </x:c>
      <x:c r="Q516" s="4" t="str">
        <x:v>fc3f2b993a1e202ef42a8e831c29f8f287f85e7a</x:v>
      </x:c>
    </x:row>
    <x:row r="517" ht="86" customHeight="1">
      <x:c r="A517" s="15" t="str">
        <x:v>HDL-101</x:v>
      </x:c>
      <x:c r="B517" s="23" t="str">
        <x:v>Blocked</x:v>
      </x:c>
      <x:c r="C517" s="21" t="str">
        <x:v>P0</x:v>
      </x:c>
      <x:c r="D517" s="15" t="str">
        <x:v>hdlBits</x:v>
      </x:c>
      <x:c r="E517" s="15" t="str">
        <x:v>Implementation prerequisite</x:v>
      </x:c>
      <x:c r="F517" s="15" t="str">
        <x:v>Define and implement top_module</x:v>
      </x:c>
      <x:c r="G517" s="15" t="str">
        <x:v>clk, areset, load, ena, data, q</x:v>
      </x:c>
      <x:c r="H517" s="15" t="str">
        <x:v>Complete the existing module/interface and write the intended port-level contract before attempting functional vectors. This plan does not implement it.</x:v>
      </x:c>
      <x:c r="I517" s="15" t="str">
        <x:v>A named module elaborates with driven outputs and a defined function. Current source is empty or malformed, so functional pass criteria cannot be inferred safely.</x:v>
      </x:c>
      <x:c r="J517" s="17"/>
      <x:c r="K517" s="24"/>
      <x:c r="L517" s="17"/>
      <x:c r="M517" s="17" t="str">
        <x:v>Existing stub; not a passing design.</x:v>
      </x:c>
      <x:c r="N517" s="15" t="str">
        <x:v>HDLBits Attempt 1/study/solutions/Day 04/101-shift4.sv</x:v>
      </x:c>
      <x:c r="O517" s="26" t="str">
        <x:v>https://github.com/kapiltrip/hdlBits/blob/fc3f2b993a1e202ef42a8e831c29f8f287f85e7a/HDLBits%20Attempt%201/study/solutions/Day%2004/101-shift4.sv</x:v>
      </x:c>
      <x:c r="P517" s="15" t="str">
        <x:f>IF(B517="Done",IF(OR(J517="",K517="",L517=""),"Add run evidence","Recorded"),IF(OR(B517="Blocked",B517="N/A"),IF(M517="","Add reason","Reason recorded"),""))</x:f>
        <x:v>Reason recorded</x:v>
      </x:c>
      <x:c r="Q517" s="15" t="str">
        <x:v>fc3f2b993a1e202ef42a8e831c29f8f287f85e7a</x:v>
      </x:c>
    </x:row>
    <x:row r="518" ht="86" customHeight="1">
      <x:c r="A518" s="4" t="str">
        <x:v>HDL-102</x:v>
      </x:c>
      <x:c r="B518" s="23" t="str">
        <x:v>Blocked</x:v>
      </x:c>
      <x:c r="C518" s="20" t="str">
        <x:v>P0</x:v>
      </x:c>
      <x:c r="D518" s="4" t="str">
        <x:v>hdlBits</x:v>
      </x:c>
      <x:c r="E518" s="4" t="str">
        <x:v>Implementation prerequisite</x:v>
      </x:c>
      <x:c r="F518" s="4" t="str">
        <x:v>Define and implement top_module</x:v>
      </x:c>
      <x:c r="G518" s="4" t="str">
        <x:v>clk, load, ena, data, q</x:v>
      </x:c>
      <x:c r="H518" s="4" t="str">
        <x:v>Complete the existing module/interface and write the intended port-level contract before attempting functional vectors. This plan does not implement it.</x:v>
      </x:c>
      <x:c r="I518" s="4" t="str">
        <x:v>A named module elaborates with driven outputs and a defined function. Current source is empty or malformed, so functional pass criteria cannot be inferred safely.</x:v>
      </x:c>
      <x:c r="J518" s="17"/>
      <x:c r="K518" s="24"/>
      <x:c r="L518" s="17"/>
      <x:c r="M518" s="17" t="str">
        <x:v>Existing stub; not a passing design.</x:v>
      </x:c>
      <x:c r="N518" s="4" t="str">
        <x:v>HDLBits Attempt 1/study/solutions/Day 04/102-rotate100.sv</x:v>
      </x:c>
      <x:c r="O518" s="25" t="str">
        <x:v>https://github.com/kapiltrip/hdlBits/blob/fc3f2b993a1e202ef42a8e831c29f8f287f85e7a/HDLBits%20Attempt%201/study/solutions/Day%2004/102-rotate100.sv</x:v>
      </x:c>
      <x:c r="P518" s="4" t="str">
        <x:f>IF(B518="Done",IF(OR(J518="",K518="",L518=""),"Add run evidence","Recorded"),IF(OR(B518="Blocked",B518="N/A"),IF(M518="","Add reason","Reason recorded"),""))</x:f>
        <x:v>Reason recorded</x:v>
      </x:c>
      <x:c r="Q518" s="4" t="str">
        <x:v>fc3f2b993a1e202ef42a8e831c29f8f287f85e7a</x:v>
      </x:c>
    </x:row>
    <x:row r="519" ht="86" customHeight="1">
      <x:c r="A519" s="15" t="str">
        <x:v>HDL-103</x:v>
      </x:c>
      <x:c r="B519" s="19" t="str">
        <x:v>Pending</x:v>
      </x:c>
      <x:c r="C519" s="15" t="str">
        <x:v>P1</x:v>
      </x:c>
      <x:c r="D519" s="15" t="str">
        <x:v>hdlBits</x:v>
      </x:c>
      <x:c r="E519" s="15" t="str">
        <x:v>Shift/rotate</x:v>
      </x:c>
      <x:c r="F519" s="15" t="str">
        <x:v>Direction, load and boundary bits</x:v>
      </x:c>
      <x:c r="G519" s="15" t="str">
        <x:v>clk, load, ena, amount, data, q</x:v>
      </x:c>
      <x:c r="H519" s="15" t="str">
        <x:v>Drive clk, load, ena, amount, data with walking-one patterns at both ends; exercise every shift amount/direction and simultaneous load/enable controls.</x:v>
      </x:c>
      <x:c r="I519" s="15" t="str">
        <x:v>q preserves the defined bit order and delay. Check zero-fill, sign-fill or rotation separately as specified by this source; load/hold priority and bits shifted out must match the contract.</x:v>
      </x:c>
      <x:c r="J519" s="17"/>
      <x:c r="K519" s="24"/>
      <x:c r="L519" s="17"/>
      <x:c r="M519" s="17" t="str">
        <x:v>Compile this exercise separately because many files declare top_module. Use the original exercise statement as an independent oracle; helper stubs establish elaboration only.</x:v>
      </x:c>
      <x:c r="N519" s="15" t="str">
        <x:v>HDLBits Attempt 1/study/solutions/Day 04/103-shift18.sv</x:v>
      </x:c>
      <x:c r="O519" s="26" t="str">
        <x:v>https://github.com/kapiltrip/hdlBits/blob/fc3f2b993a1e202ef42a8e831c29f8f287f85e7a/HDLBits%20Attempt%201/study/solutions/Day%2004/103-shift18.sv</x:v>
      </x:c>
      <x:c r="P519" s="15" t="str">
        <x:f>IF(B519="Done",IF(OR(J519="",K519="",L519=""),"Add run evidence","Recorded"),IF(OR(B519="Blocked",B519="N/A"),IF(M519="","Add reason","Reason recorded"),""))</x:f>
      </x:c>
      <x:c r="Q519" s="15" t="str">
        <x:v>fc3f2b993a1e202ef42a8e831c29f8f287f85e7a</x:v>
      </x:c>
    </x:row>
    <x:row r="520" ht="86" customHeight="1">
      <x:c r="A520" s="4" t="str">
        <x:v>HDL-104</x:v>
      </x:c>
      <x:c r="B520" s="19" t="str">
        <x:v>Pending</x:v>
      </x:c>
      <x:c r="C520" s="4" t="str">
        <x:v>P1</x:v>
      </x:c>
      <x:c r="D520" s="4" t="str">
        <x:v>hdlBits</x:v>
      </x:c>
      <x:c r="E520" s="4" t="str">
        <x:v>LFSR</x:v>
      </x:c>
      <x:c r="F520" s="4" t="str">
        <x:v>Seed, recurrence and repeat period</x:v>
      </x:c>
      <x:c r="G520" s="4" t="str">
        <x:v>clk, reset, q</x:v>
      </x:c>
      <x:c r="H520" s="4" t="str">
        <x:v>Reset/load the documented nonzero seed; record q for a complete small-width sequence and repeat after reset. Also test enable holds if present and the zero-seed behavior.</x:v>
      </x:c>
      <x:c r="I520" s="4" t="str">
        <x:v>The sequence follows the declared tap polynomial and shift direction. A claimed maximal n-bit LFSR visits 2^n-1 distinct nonzero states before repeating; measure the actual period rather than assuming it. Fibonacci and Galois forms need not be bit-for-bit identical.</x:v>
      </x:c>
      <x:c r="J520" s="17"/>
      <x:c r="K520" s="24"/>
      <x:c r="L520" s="17"/>
      <x:c r="M520" s="17" t="str">
        <x:v>Compile this exercise separately because many files declare top_module. Use the original exercise statement as an independent oracle; helper stubs establish elaboration only.</x:v>
      </x:c>
      <x:c r="N520" s="4" t="str">
        <x:v>HDLBits Attempt 1/study/solutions/Day 04/104-lfsr5.sv</x:v>
      </x:c>
      <x:c r="O520" s="25" t="str">
        <x:v>https://github.com/kapiltrip/hdlBits/blob/fc3f2b993a1e202ef42a8e831c29f8f287f85e7a/HDLBits%20Attempt%201/study/solutions/Day%2004/104-lfsr5.sv</x:v>
      </x:c>
      <x:c r="P520" s="4" t="str">
        <x:f>IF(B520="Done",IF(OR(J520="",K520="",L520=""),"Add run evidence","Recorded"),IF(OR(B520="Blocked",B520="N/A"),IF(M520="","Add reason","Reason recorded"),""))</x:f>
      </x:c>
      <x:c r="Q520" s="4" t="str">
        <x:v>fc3f2b993a1e202ef42a8e831c29f8f287f85e7a</x:v>
      </x:c>
    </x:row>
    <x:row r="521" ht="86" customHeight="1">
      <x:c r="A521" s="15" t="str">
        <x:v>HDL-105</x:v>
      </x:c>
      <x:c r="B521" s="19" t="str">
        <x:v>Pending</x:v>
      </x:c>
      <x:c r="C521" s="15" t="str">
        <x:v>P1</x:v>
      </x:c>
      <x:c r="D521" s="15" t="str">
        <x:v>hdlBits</x:v>
      </x:c>
      <x:c r="E521" s="15" t="str">
        <x:v>LFSR</x:v>
      </x:c>
      <x:c r="F521" s="15" t="str">
        <x:v>Seed, recurrence and repeat period</x:v>
      </x:c>
      <x:c r="G521" s="15" t="str">
        <x:v>SW, KEY, LEDR</x:v>
      </x:c>
      <x:c r="H521" s="15" t="str">
        <x:v>Reset/load the documented nonzero seed; record LEDR for a complete small-width sequence and repeat after reset. Also test enable holds if present and the zero-seed behavior.</x:v>
      </x:c>
      <x:c r="I521" s="15" t="str">
        <x:v>The sequence follows the declared tap polynomial and shift direction. A claimed maximal n-bit LFSR visits 2^n-1 distinct nonzero states before repeating; measure the actual period rather than assuming it. Fibonacci and Galois forms need not be bit-for-bit identical. Source mapping: LEDR = {q2,q1,q0}.</x:v>
      </x:c>
      <x:c r="J521" s="17"/>
      <x:c r="K521" s="24"/>
      <x:c r="L521" s="17"/>
      <x:c r="M521" s="17" t="str">
        <x:v>Compile this exercise separately because many files declare top_module. Use the original exercise statement as an independent oracle; helper stubs establish elaboration only.</x:v>
      </x:c>
      <x:c r="N521" s="15" t="str">
        <x:v>HDLBits Attempt 1/study/solutions/Day 04/105-mt2015_lfsr.sv</x:v>
      </x:c>
      <x:c r="O521" s="26" t="str">
        <x:v>https://github.com/kapiltrip/hdlBits/blob/fc3f2b993a1e202ef42a8e831c29f8f287f85e7a/HDLBits%20Attempt%201/study/solutions/Day%2004/105-mt2015_lfsr.sv</x:v>
      </x:c>
      <x:c r="P521" s="15" t="str">
        <x:f>IF(B521="Done",IF(OR(J521="",K521="",L521=""),"Add run evidence","Recorded"),IF(OR(B521="Blocked",B521="N/A"),IF(M521="","Add reason","Reason recorded"),""))</x:f>
      </x:c>
      <x:c r="Q521" s="15" t="str">
        <x:v>fc3f2b993a1e202ef42a8e831c29f8f287f85e7a</x:v>
      </x:c>
    </x:row>
    <x:row r="522" ht="86" customHeight="1">
      <x:c r="A522" s="4" t="str">
        <x:v>HDL-106</x:v>
      </x:c>
      <x:c r="B522" s="23" t="str">
        <x:v>Blocked</x:v>
      </x:c>
      <x:c r="C522" s="20" t="str">
        <x:v>P0</x:v>
      </x:c>
      <x:c r="D522" s="4" t="str">
        <x:v>hdlBits</x:v>
      </x:c>
      <x:c r="E522" s="4" t="str">
        <x:v>Implementation prerequisite</x:v>
      </x:c>
      <x:c r="F522" s="4" t="str">
        <x:v>Define and implement top_module</x:v>
      </x:c>
      <x:c r="G522" s="4" t="str">
        <x:v>clk, reset, q</x:v>
      </x:c>
      <x:c r="H522" s="4" t="str">
        <x:v>Complete the existing module/interface and write the intended port-level contract before attempting functional vectors. This plan does not implement it.</x:v>
      </x:c>
      <x:c r="I522" s="4" t="str">
        <x:v>A named module elaborates with driven outputs and a defined function. Current source is empty or malformed, so functional pass criteria cannot be inferred safely.</x:v>
      </x:c>
      <x:c r="J522" s="17"/>
      <x:c r="K522" s="24"/>
      <x:c r="L522" s="17"/>
      <x:c r="M522" s="17" t="str">
        <x:v>Existing stub; not a passing design.</x:v>
      </x:c>
      <x:c r="N522" s="4" t="str">
        <x:v>HDLBits Attempt 1/study/solutions/Day 04/106-lfsr32.sv</x:v>
      </x:c>
      <x:c r="O522" s="25" t="str">
        <x:v>https://github.com/kapiltrip/hdlBits/blob/fc3f2b993a1e202ef42a8e831c29f8f287f85e7a/HDLBits%20Attempt%201/study/solutions/Day%2004/106-lfsr32.sv</x:v>
      </x:c>
      <x:c r="P522" s="4" t="str">
        <x:f>IF(B522="Done",IF(OR(J522="",K522="",L522=""),"Add run evidence","Recorded"),IF(OR(B522="Blocked",B522="N/A"),IF(M522="","Add reason","Reason recorded"),""))</x:f>
        <x:v>Reason recorded</x:v>
      </x:c>
      <x:c r="Q522" s="4" t="str">
        <x:v>fc3f2b993a1e202ef42a8e831c29f8f287f85e7a</x:v>
      </x:c>
    </x:row>
    <x:row r="523" ht="86" customHeight="1">
      <x:c r="A523" s="15" t="str">
        <x:v>HDL-107</x:v>
      </x:c>
      <x:c r="B523" s="19" t="str">
        <x:v>Pending</x:v>
      </x:c>
      <x:c r="C523" s="15" t="str">
        <x:v>P1</x:v>
      </x:c>
      <x:c r="D523" s="15" t="str">
        <x:v>hdlBits</x:v>
      </x:c>
      <x:c r="E523" s="15" t="str">
        <x:v>Sequential logic</x:v>
      </x:c>
      <x:c r="F523" s="15" t="str">
        <x:v>Reset, control priority and cycle behavior</x:v>
      </x:c>
      <x:c r="G523" s="15" t="str">
        <x:v>clk, resetn, in, out</x:v>
      </x:c>
      <x:c r="H523" s="15" t="str">
        <x:v>For top_module, initialize through its reset/load path, then vary in before active edges. Cover each control combination, holds, boundary transitions and reset during activity. Clock/reset events in this source: posedge clk.</x:v>
      </x:c>
      <x:c r="I523" s="15" t="str">
        <x:v>Check out only at its defined valid time. Compare a cycle-by-cycle reference state/sequence, including reset polarity and priority. Sample registered results after nonblocking updates; combinational Mealy outputs may require a pre-edge check. Source mapping: out = q4.</x:v>
      </x:c>
      <x:c r="J523" s="17"/>
      <x:c r="K523" s="24"/>
      <x:c r="L523" s="17"/>
      <x:c r="M523" s="17" t="str">
        <x:v>Compile this exercise separately because many files declare top_module. Use the original exercise statement as an independent oracle; helper stubs establish elaboration only.</x:v>
      </x:c>
      <x:c r="N523" s="15" t="str">
        <x:v>HDLBits Attempt 1/study/solutions/Day 04/107-exams__m2014_q4k.sv</x:v>
      </x:c>
      <x:c r="O523" s="26" t="str">
        <x:v>https://github.com/kapiltrip/hdlBits/blob/fc3f2b993a1e202ef42a8e831c29f8f287f85e7a/HDLBits%20Attempt%201/study/solutions/Day%2004/107-exams__m2014_q4k.sv</x:v>
      </x:c>
      <x:c r="P523" s="15" t="str">
        <x:f>IF(B523="Done",IF(OR(J523="",K523="",L523=""),"Add run evidence","Recorded"),IF(OR(B523="Blocked",B523="N/A"),IF(M523="","Add reason","Reason recorded"),""))</x:f>
      </x:c>
      <x:c r="Q523" s="15" t="str">
        <x:v>fc3f2b993a1e202ef42a8e831c29f8f287f85e7a</x:v>
      </x:c>
    </x:row>
    <x:row r="524" ht="86" customHeight="1">
      <x:c r="A524" s="4" t="str">
        <x:v>HDL-108</x:v>
      </x:c>
      <x:c r="B524" s="19" t="str">
        <x:v>Pending</x:v>
      </x:c>
      <x:c r="C524" s="4" t="str">
        <x:v>P1</x:v>
      </x:c>
      <x:c r="D524" s="4" t="str">
        <x:v>hdlBits</x:v>
      </x:c>
      <x:c r="E524" s="4" t="str">
        <x:v>Sequential logic</x:v>
      </x:c>
      <x:c r="F524" s="4" t="str">
        <x:v>Reset, control priority and cycle behavior</x:v>
      </x:c>
      <x:c r="G524" s="4" t="str">
        <x:v>SW, KEY, LEDR, clk, w, R, E, L, Q</x:v>
      </x:c>
      <x:c r="H524" s="4" t="str">
        <x:v>For top_module, MUXDFF, initialize through its reset/load path, then vary SW, KEY before active edges. Cover each control combination, holds, boundary transitions and reset during activity. Clock/reset events in this source: posedge clk.</x:v>
      </x:c>
      <x:c r="I524" s="4" t="str">
        <x:v>Check LEDR only at its defined valid time. Compare a cycle-by-cycle reference state/sequence, including reset polarity and priority. Sample registered results after nonblocking updates; combinational Mealy outputs may require a pre-edge check.</x:v>
      </x:c>
      <x:c r="J524" s="17"/>
      <x:c r="K524" s="24"/>
      <x:c r="L524" s="17"/>
      <x:c r="M524" s="17" t="str">
        <x:v>Compile this exercise separately because many files declare top_module. Use the original exercise statement as an independent oracle; helper stubs establish elaboration only.</x:v>
      </x:c>
      <x:c r="N524" s="4" t="str">
        <x:v>HDLBits Attempt 1/study/solutions/Day 05/108-exams__2014_q4b.sv</x:v>
      </x:c>
      <x:c r="O524" s="25" t="str">
        <x:v>https://github.com/kapiltrip/hdlBits/blob/fc3f2b993a1e202ef42a8e831c29f8f287f85e7a/HDLBits%20Attempt%201/study/solutions/Day%2005/108-exams__2014_q4b.sv</x:v>
      </x:c>
      <x:c r="P524" s="4" t="str">
        <x:f>IF(B524="Done",IF(OR(J524="",K524="",L524=""),"Add run evidence","Recorded"),IF(OR(B524="Blocked",B524="N/A"),IF(M524="","Add reason","Reason recorded"),""))</x:f>
      </x:c>
      <x:c r="Q524" s="4" t="str">
        <x:v>fc3f2b993a1e202ef42a8e831c29f8f287f85e7a</x:v>
      </x:c>
    </x:row>
    <x:row r="525" ht="86" customHeight="1">
      <x:c r="A525" s="15" t="str">
        <x:v>HDL-109</x:v>
      </x:c>
      <x:c r="B525" s="19" t="str">
        <x:v>Pending</x:v>
      </x:c>
      <x:c r="C525" s="15" t="str">
        <x:v>P1</x:v>
      </x:c>
      <x:c r="D525" s="15" t="str">
        <x:v>hdlBits</x:v>
      </x:c>
      <x:c r="E525" s="15" t="str">
        <x:v>Sequential logic</x:v>
      </x:c>
      <x:c r="F525" s="15" t="str">
        <x:v>Reset, control priority and cycle behavior</x:v>
      </x:c>
      <x:c r="G525" s="15" t="str">
        <x:v>clk, enable, S, A, B, C, Z</x:v>
      </x:c>
      <x:c r="H525" s="15" t="str">
        <x:v>For top_module, initialize through its reset/load path, then vary enable, S, A, B, C before active edges. Cover each control combination, holds, boundary transitions and reset during activity. Clock/reset events in this source: posedge clk.</x:v>
      </x:c>
      <x:c r="I525" s="15" t="str">
        <x:v>Check Z only at its defined valid time. Compare a cycle-by-cycle reference state/sequence, including reset polarity and priority. Sample registered results after nonblocking updates; combinational Mealy outputs may require a pre-edge check.</x:v>
      </x:c>
      <x:c r="J525" s="17"/>
      <x:c r="K525" s="24"/>
      <x:c r="L525" s="17"/>
      <x:c r="M525" s="17" t="str">
        <x:v>Compile this exercise separately because many files declare top_module. Use the original exercise statement as an independent oracle; helper stubs establish elaboration only.</x:v>
      </x:c>
      <x:c r="N525" s="15" t="str">
        <x:v>HDLBits Attempt 1/study/solutions/Day 05/109-exams__ece241_2013_q12.sv</x:v>
      </x:c>
      <x:c r="O525" s="26" t="str">
        <x:v>https://github.com/kapiltrip/hdlBits/blob/fc3f2b993a1e202ef42a8e831c29f8f287f85e7a/HDLBits%20Attempt%201/study/solutions/Day%2005/109-exams__ece241_2013_q12.sv</x:v>
      </x:c>
      <x:c r="P525" s="15" t="str">
        <x:f>IF(B525="Done",IF(OR(J525="",K525="",L525=""),"Add run evidence","Recorded"),IF(OR(B525="Blocked",B525="N/A"),IF(M525="","Add reason","Reason recorded"),""))</x:f>
      </x:c>
      <x:c r="Q525" s="15" t="str">
        <x:v>fc3f2b993a1e202ef42a8e831c29f8f287f85e7a</x:v>
      </x:c>
    </x:row>
    <x:row r="526" ht="86" customHeight="1">
      <x:c r="A526" s="4" t="str">
        <x:v>HDL-110</x:v>
      </x:c>
      <x:c r="B526" s="19" t="str">
        <x:v>Pending</x:v>
      </x:c>
      <x:c r="C526" s="4" t="str">
        <x:v>P1</x:v>
      </x:c>
      <x:c r="D526" s="4" t="str">
        <x:v>hdlBits</x:v>
      </x:c>
      <x:c r="E526" s="4" t="str">
        <x:v>Sequential logic</x:v>
      </x:c>
      <x:c r="F526" s="4" t="str">
        <x:v>Reset, control priority and cycle behavior</x:v>
      </x:c>
      <x:c r="G526" s="4" t="str">
        <x:v>clk, areset, in, out</x:v>
      </x:c>
      <x:c r="H526" s="4" t="str">
        <x:v>For top_module, initialize through its reset/load path, then vary in before active edges. Cover each control combination, holds, boundary transitions and reset during activity. Clock/reset events in this source: posedge clk, posedge areset.</x:v>
      </x:c>
      <x:c r="I526" s="4" t="str">
        <x:v>Check out only at its defined valid time. Compare a cycle-by-cycle reference state/sequence, including reset polarity and priority. Sample registered results after nonblocking updates; combinational Mealy outputs may require a pre-edge check. Source mapping: out = (state == A).</x:v>
      </x:c>
      <x:c r="J526" s="17"/>
      <x:c r="K526" s="24"/>
      <x:c r="L526" s="17"/>
      <x:c r="M526" s="17" t="str">
        <x:v>Compile this exercise separately because many files declare top_module. Use the original exercise statement as an independent oracle; helper stubs establish elaboration only.</x:v>
      </x:c>
      <x:c r="N526" s="4" t="str">
        <x:v>HDLBits Attempt 1/study/solutions/Day 05/110-fsm1.sv</x:v>
      </x:c>
      <x:c r="O526" s="25" t="str">
        <x:v>https://github.com/kapiltrip/hdlBits/blob/fc3f2b993a1e202ef42a8e831c29f8f287f85e7a/HDLBits%20Attempt%201/study/solutions/Day%2005/110-fsm1.sv</x:v>
      </x:c>
      <x:c r="P526" s="4" t="str">
        <x:f>IF(B526="Done",IF(OR(J526="",K526="",L526=""),"Add run evidence","Recorded"),IF(OR(B526="Blocked",B526="N/A"),IF(M526="","Add reason","Reason recorded"),""))</x:f>
      </x:c>
      <x:c r="Q526" s="4" t="str">
        <x:v>fc3f2b993a1e202ef42a8e831c29f8f287f85e7a</x:v>
      </x:c>
    </x:row>
    <x:row r="527" ht="86" customHeight="1">
      <x:c r="A527" s="15" t="str">
        <x:v>HDL-111</x:v>
      </x:c>
      <x:c r="B527" s="19" t="str">
        <x:v>Pending</x:v>
      </x:c>
      <x:c r="C527" s="15" t="str">
        <x:v>P1</x:v>
      </x:c>
      <x:c r="D527" s="15" t="str">
        <x:v>hdlBits</x:v>
      </x:c>
      <x:c r="E527" s="15" t="str">
        <x:v>Sequential logic</x:v>
      </x:c>
      <x:c r="F527" s="15" t="str">
        <x:v>Reset, control priority and cycle behavior</x:v>
      </x:c>
      <x:c r="G527" s="15" t="str">
        <x:v>clk, reset, in, out</x:v>
      </x:c>
      <x:c r="H527" s="15" t="str">
        <x:v>For top_module, initialize through its reset/load path, then vary in before active edges. Cover each control combination, holds, boundary transitions and reset during activity. Clock/reset events in this source: posedge clk.</x:v>
      </x:c>
      <x:c r="I527" s="15" t="str">
        <x:v>Check out only at its defined valid time. Compare a cycle-by-cycle reference state/sequence, including reset polarity and priority. Sample registered results after nonblocking updates; combinational Mealy outputs may require a pre-edge check. Source mapping: out = (present_state == B).</x:v>
      </x:c>
      <x:c r="J527" s="17"/>
      <x:c r="K527" s="24"/>
      <x:c r="L527" s="17"/>
      <x:c r="M527" s="17" t="str">
        <x:v>Compile this exercise separately because many files declare top_module. Use the original exercise statement as an independent oracle; helper stubs establish elaboration only.</x:v>
      </x:c>
      <x:c r="N527" s="15" t="str">
        <x:v>HDLBits Attempt 1/study/solutions/Day 05/111-fsm1s.sv</x:v>
      </x:c>
      <x:c r="O527" s="26" t="str">
        <x:v>https://github.com/kapiltrip/hdlBits/blob/fc3f2b993a1e202ef42a8e831c29f8f287f85e7a/HDLBits%20Attempt%201/study/solutions/Day%2005/111-fsm1s.sv</x:v>
      </x:c>
      <x:c r="P527" s="15" t="str">
        <x:f>IF(B527="Done",IF(OR(J527="",K527="",L527=""),"Add run evidence","Recorded"),IF(OR(B527="Blocked",B527="N/A"),IF(M527="","Add reason","Reason recorded"),""))</x:f>
      </x:c>
      <x:c r="Q527" s="15" t="str">
        <x:v>fc3f2b993a1e202ef42a8e831c29f8f287f85e7a</x:v>
      </x:c>
    </x:row>
    <x:row r="528" ht="86" customHeight="1">
      <x:c r="A528" s="4" t="str">
        <x:v>HDL-112</x:v>
      </x:c>
      <x:c r="B528" s="19" t="str">
        <x:v>Pending</x:v>
      </x:c>
      <x:c r="C528" s="4" t="str">
        <x:v>P1</x:v>
      </x:c>
      <x:c r="D528" s="4" t="str">
        <x:v>hdlBits</x:v>
      </x:c>
      <x:c r="E528" s="4" t="str">
        <x:v>Sequential logic</x:v>
      </x:c>
      <x:c r="F528" s="4" t="str">
        <x:v>Reset, control priority and cycle behavior</x:v>
      </x:c>
      <x:c r="G528" s="4" t="str">
        <x:v>clk, areset, j, k, out</x:v>
      </x:c>
      <x:c r="H528" s="4" t="str">
        <x:v>For top_module, initialize through its reset/load path, then vary j, k before active edges. Cover each control combination, holds, boundary transitions and reset during activity. Clock/reset events in this source: posedge clk, posedge areset.</x:v>
      </x:c>
      <x:c r="I528" s="4" t="str">
        <x:v>Check out only at its defined valid time. Compare a cycle-by-cycle reference state/sequence, including reset polarity and priority. Sample registered results after nonblocking updates; combinational Mealy outputs may require a pre-edge check. Source mapping: out = (state == ON).</x:v>
      </x:c>
      <x:c r="J528" s="17"/>
      <x:c r="K528" s="24"/>
      <x:c r="L528" s="17"/>
      <x:c r="M528" s="17" t="str">
        <x:v>Compile this exercise separately because many files declare top_module. Use the original exercise statement as an independent oracle; helper stubs establish elaboration only.</x:v>
      </x:c>
      <x:c r="N528" s="4" t="str">
        <x:v>HDLBits Attempt 1/study/solutions/Day 05/112-fsm2.sv</x:v>
      </x:c>
      <x:c r="O528" s="25" t="str">
        <x:v>https://github.com/kapiltrip/hdlBits/blob/fc3f2b993a1e202ef42a8e831c29f8f287f85e7a/HDLBits%20Attempt%201/study/solutions/Day%2005/112-fsm2.sv</x:v>
      </x:c>
      <x:c r="P528" s="4" t="str">
        <x:f>IF(B528="Done",IF(OR(J528="",K528="",L528=""),"Add run evidence","Recorded"),IF(OR(B528="Blocked",B528="N/A"),IF(M528="","Add reason","Reason recorded"),""))</x:f>
      </x:c>
      <x:c r="Q528" s="4" t="str">
        <x:v>fc3f2b993a1e202ef42a8e831c29f8f287f85e7a</x:v>
      </x:c>
    </x:row>
    <x:row r="529" ht="86" customHeight="1">
      <x:c r="A529" s="15" t="str">
        <x:v>HDL-113</x:v>
      </x:c>
      <x:c r="B529" s="19" t="str">
        <x:v>Pending</x:v>
      </x:c>
      <x:c r="C529" s="15" t="str">
        <x:v>P1</x:v>
      </x:c>
      <x:c r="D529" s="15" t="str">
        <x:v>hdlBits</x:v>
      </x:c>
      <x:c r="E529" s="15" t="str">
        <x:v>Sequential logic</x:v>
      </x:c>
      <x:c r="F529" s="15" t="str">
        <x:v>Reset, control priority and cycle behavior</x:v>
      </x:c>
      <x:c r="G529" s="15" t="str">
        <x:v>clk, reset, j, k, out</x:v>
      </x:c>
      <x:c r="H529" s="15" t="str">
        <x:v>For top_module, initialize through its reset/load path, then vary j, k before active edges. Cover each control combination, holds, boundary transitions and reset during activity. Clock/reset events in this source: posedge clk.</x:v>
      </x:c>
      <x:c r="I529" s="15" t="str">
        <x:v>Check out only at its defined valid time. Compare a cycle-by-cycle reference state/sequence, including reset polarity and priority. Sample registered results after nonblocking updates; combinational Mealy outputs may require a pre-edge check. Source mapping: out = (state == ON).</x:v>
      </x:c>
      <x:c r="J529" s="17"/>
      <x:c r="K529" s="24"/>
      <x:c r="L529" s="17"/>
      <x:c r="M529" s="17" t="str">
        <x:v>Compile this exercise separately because many files declare top_module. Use the original exercise statement as an independent oracle; helper stubs establish elaboration only.</x:v>
      </x:c>
      <x:c r="N529" s="15" t="str">
        <x:v>HDLBits Attempt 1/study/solutions/Day 05/113-fsm2s.sv</x:v>
      </x:c>
      <x:c r="O529" s="26" t="str">
        <x:v>https://github.com/kapiltrip/hdlBits/blob/fc3f2b993a1e202ef42a8e831c29f8f287f85e7a/HDLBits%20Attempt%201/study/solutions/Day%2005/113-fsm2s.sv</x:v>
      </x:c>
      <x:c r="P529" s="15" t="str">
        <x:f>IF(B529="Done",IF(OR(J529="",K529="",L529=""),"Add run evidence","Recorded"),IF(OR(B529="Blocked",B529="N/A"),IF(M529="","Add reason","Reason recorded"),""))</x:f>
      </x:c>
      <x:c r="Q529" s="15" t="str">
        <x:v>fc3f2b993a1e202ef42a8e831c29f8f287f85e7a</x:v>
      </x:c>
    </x:row>
    <x:row r="530" ht="86" customHeight="1">
      <x:c r="A530" s="4" t="str">
        <x:v>HDL-114</x:v>
      </x:c>
      <x:c r="B530" s="19" t="str">
        <x:v>Pending</x:v>
      </x:c>
      <x:c r="C530" s="4" t="str">
        <x:v>P1</x:v>
      </x:c>
      <x:c r="D530" s="4" t="str">
        <x:v>hdlBits</x:v>
      </x:c>
      <x:c r="E530" s="4" t="str">
        <x:v>Combinational logic</x:v>
      </x:c>
      <x:c r="F530" s="4" t="str">
        <x:v>Input combinations and output mapping</x:v>
      </x:c>
      <x:c r="G530" s="4" t="str">
        <x:v>in, state, next_state, out</x:v>
      </x:c>
      <x:c r="H530" s="4" t="str">
        <x:v>Drive in, state through binary combinations when small; for vectors use zero, all ones, alternating bits and walking one/zero. Toggle one input at a time and include rapid changes after a previous nonzero result.</x:v>
      </x:c>
      <x:c r="I530" s="4" t="str">
        <x:v>Check next_state, out against an independently written truth table. Combinational results must settle without a clock or stale retained values. Source mapping: out = (state==D).</x:v>
      </x:c>
      <x:c r="J530" s="17"/>
      <x:c r="K530" s="24"/>
      <x:c r="L530" s="17"/>
      <x:c r="M530" s="17" t="str">
        <x:v>Compile this exercise separately because many files declare top_module. Use the original exercise statement as an independent oracle; helper stubs establish elaboration only.</x:v>
      </x:c>
      <x:c r="N530" s="4" t="str">
        <x:v>HDLBits Attempt 1/study/solutions/Day 05/114-fsm3comb.sv</x:v>
      </x:c>
      <x:c r="O530" s="25" t="str">
        <x:v>https://github.com/kapiltrip/hdlBits/blob/fc3f2b993a1e202ef42a8e831c29f8f287f85e7a/HDLBits%20Attempt%201/study/solutions/Day%2005/114-fsm3comb.sv</x:v>
      </x:c>
      <x:c r="P530" s="4" t="str">
        <x:f>IF(B530="Done",IF(OR(J530="",K530="",L530=""),"Add run evidence","Recorded"),IF(OR(B530="Blocked",B530="N/A"),IF(M530="","Add reason","Reason recorded"),""))</x:f>
      </x:c>
      <x:c r="Q530" s="4" t="str">
        <x:v>fc3f2b993a1e202ef42a8e831c29f8f287f85e7a</x:v>
      </x:c>
    </x:row>
    <x:row r="531" ht="86" customHeight="1">
      <x:c r="A531" s="15" t="str">
        <x:v>HDL-115</x:v>
      </x:c>
      <x:c r="B531" s="19" t="str">
        <x:v>Pending</x:v>
      </x:c>
      <x:c r="C531" s="15" t="str">
        <x:v>P1</x:v>
      </x:c>
      <x:c r="D531" s="15" t="str">
        <x:v>hdlBits</x:v>
      </x:c>
      <x:c r="E531" s="15" t="str">
        <x:v>Combinational logic</x:v>
      </x:c>
      <x:c r="F531" s="15" t="str">
        <x:v>Input combinations and output mapping</x:v>
      </x:c>
      <x:c r="G531" s="15" t="str">
        <x:v>in, state, next_state, out</x:v>
      </x:c>
      <x:c r="H531" s="15" t="str">
        <x:v>Drive in, state through binary combinations when small; for vectors use zero, all ones, alternating bits and walking one/zero. Toggle one input at a time and include rapid changes after a previous nonzero result.</x:v>
      </x:c>
      <x:c r="I531" s="15" t="str">
        <x:v>Check next_state, out against an independently written truth table. Combinational results must settle without a clock or stale retained values. Source mapping: next_state[A] = ~in &amp; (state[A] | state[C]); next_state[B] = in &amp; (state[A] | state[B] | state[D]); next_state[C] = ~in &amp; (state[B] | state[D]); next_state[D] = in &amp; state[C]; out = state[D].</x:v>
      </x:c>
      <x:c r="J531" s="17"/>
      <x:c r="K531" s="24"/>
      <x:c r="L531" s="17"/>
      <x:c r="M531" s="17" t="str">
        <x:v>Compile this exercise separately because many files declare top_module. Use the original exercise statement as an independent oracle; helper stubs establish elaboration only.</x:v>
      </x:c>
      <x:c r="N531" s="15" t="str">
        <x:v>HDLBits Attempt 1/study/solutions/Day 05/115-fsm3onehot.sv</x:v>
      </x:c>
      <x:c r="O531" s="26" t="str">
        <x:v>https://github.com/kapiltrip/hdlBits/blob/fc3f2b993a1e202ef42a8e831c29f8f287f85e7a/HDLBits%20Attempt%201/study/solutions/Day%2005/115-fsm3onehot.sv</x:v>
      </x:c>
      <x:c r="P531" s="15" t="str">
        <x:f>IF(B531="Done",IF(OR(J531="",K531="",L531=""),"Add run evidence","Recorded"),IF(OR(B531="Blocked",B531="N/A"),IF(M531="","Add reason","Reason recorded"),""))</x:f>
      </x:c>
      <x:c r="Q531" s="15" t="str">
        <x:v>fc3f2b993a1e202ef42a8e831c29f8f287f85e7a</x:v>
      </x:c>
    </x:row>
    <x:row r="532" ht="86" customHeight="1">
      <x:c r="A532" s="4" t="str">
        <x:v>HDL-116</x:v>
      </x:c>
      <x:c r="B532" s="19" t="str">
        <x:v>Pending</x:v>
      </x:c>
      <x:c r="C532" s="4" t="str">
        <x:v>P1</x:v>
      </x:c>
      <x:c r="D532" s="4" t="str">
        <x:v>hdlBits</x:v>
      </x:c>
      <x:c r="E532" s="4" t="str">
        <x:v>Sequential logic</x:v>
      </x:c>
      <x:c r="F532" s="4" t="str">
        <x:v>Reset, control priority and cycle behavior</x:v>
      </x:c>
      <x:c r="G532" s="4" t="str">
        <x:v>clk, in, areset, out</x:v>
      </x:c>
      <x:c r="H532" s="4" t="str">
        <x:v>For top_module, initialize through its reset/load path, then vary in before active edges. Cover each control combination, holds, boundary transitions and reset during activity. Clock/reset events in this source: posedge clk, posedge areset.</x:v>
      </x:c>
      <x:c r="I532" s="4" t="str">
        <x:v>Check out only at its defined valid time. Compare a cycle-by-cycle reference state/sequence, including reset polarity and priority. Sample registered results after nonblocking updates; combinational Mealy outputs may require a pre-edge check. Source mapping: out = (state == D).</x:v>
      </x:c>
      <x:c r="J532" s="17"/>
      <x:c r="K532" s="24"/>
      <x:c r="L532" s="17"/>
      <x:c r="M532" s="17" t="str">
        <x:v>Compile this exercise separately because many files declare top_module. Use the original exercise statement as an independent oracle; helper stubs establish elaboration only.</x:v>
      </x:c>
      <x:c r="N532" s="4" t="str">
        <x:v>HDLBits Attempt 1/study/solutions/Day 05/116-fsm3.sv</x:v>
      </x:c>
      <x:c r="O532" s="25" t="str">
        <x:v>https://github.com/kapiltrip/hdlBits/blob/fc3f2b993a1e202ef42a8e831c29f8f287f85e7a/HDLBits%20Attempt%201/study/solutions/Day%2005/116-fsm3.sv</x:v>
      </x:c>
      <x:c r="P532" s="4" t="str">
        <x:f>IF(B532="Done",IF(OR(J532="",K532="",L532=""),"Add run evidence","Recorded"),IF(OR(B532="Blocked",B532="N/A"),IF(M532="","Add reason","Reason recorded"),""))</x:f>
      </x:c>
      <x:c r="Q532" s="4" t="str">
        <x:v>fc3f2b993a1e202ef42a8e831c29f8f287f85e7a</x:v>
      </x:c>
    </x:row>
    <x:row r="533" ht="86" customHeight="1">
      <x:c r="A533" s="15" t="str">
        <x:v>HDL-117</x:v>
      </x:c>
      <x:c r="B533" s="19" t="str">
        <x:v>Pending</x:v>
      </x:c>
      <x:c r="C533" s="15" t="str">
        <x:v>P1</x:v>
      </x:c>
      <x:c r="D533" s="15" t="str">
        <x:v>hdlBits</x:v>
      </x:c>
      <x:c r="E533" s="15" t="str">
        <x:v>Sequential logic</x:v>
      </x:c>
      <x:c r="F533" s="15" t="str">
        <x:v>Reset, control priority and cycle behavior</x:v>
      </x:c>
      <x:c r="G533" s="15" t="str">
        <x:v>clk, in, reset, out</x:v>
      </x:c>
      <x:c r="H533" s="15" t="str">
        <x:v>For top_module, initialize through its reset/load path, then vary in before active edges. Cover each control combination, holds, boundary transitions and reset during activity. Clock/reset events in this source: posedge clk.</x:v>
      </x:c>
      <x:c r="I533" s="15" t="str">
        <x:v>Check out only at its defined valid time. Compare a cycle-by-cycle reference state/sequence, including reset polarity and priority. Sample registered results after nonblocking updates; combinational Mealy outputs may require a pre-edge check. Source mapping: out = (state == D).</x:v>
      </x:c>
      <x:c r="J533" s="17"/>
      <x:c r="K533" s="24"/>
      <x:c r="L533" s="17"/>
      <x:c r="M533" s="17" t="str">
        <x:v>Compile this exercise separately because many files declare top_module. Use the original exercise statement as an independent oracle; helper stubs establish elaboration only.</x:v>
      </x:c>
      <x:c r="N533" s="15" t="str">
        <x:v>HDLBits Attempt 1/study/solutions/Day 05/117-fsm3s.sv</x:v>
      </x:c>
      <x:c r="O533" s="26" t="str">
        <x:v>https://github.com/kapiltrip/hdlBits/blob/fc3f2b993a1e202ef42a8e831c29f8f287f85e7a/HDLBits%20Attempt%201/study/solutions/Day%2005/117-fsm3s.sv</x:v>
      </x:c>
      <x:c r="P533" s="15" t="str">
        <x:f>IF(B533="Done",IF(OR(J533="",K533="",L533=""),"Add run evidence","Recorded"),IF(OR(B533="Blocked",B533="N/A"),IF(M533="","Add reason","Reason recorded"),""))</x:f>
      </x:c>
      <x:c r="Q533" s="15" t="str">
        <x:v>fc3f2b993a1e202ef42a8e831c29f8f287f85e7a</x:v>
      </x:c>
    </x:row>
    <x:row r="534" ht="86" customHeight="1">
      <x:c r="A534" s="4" t="str">
        <x:v>HDL-118</x:v>
      </x:c>
      <x:c r="B534" s="19" t="str">
        <x:v>Pending</x:v>
      </x:c>
      <x:c r="C534" s="4" t="str">
        <x:v>P1</x:v>
      </x:c>
      <x:c r="D534" s="4" t="str">
        <x:v>hdlBits</x:v>
      </x:c>
      <x:c r="E534" s="4" t="str">
        <x:v>Sequential logic</x:v>
      </x:c>
      <x:c r="F534" s="4" t="str">
        <x:v>Reset, control priority and cycle behavior</x:v>
      </x:c>
      <x:c r="G534" s="4" t="str">
        <x:v>clk, reset, s, fr3, fr2, fr1, dfr</x:v>
      </x:c>
      <x:c r="H534" s="4" t="str">
        <x:v>For top_module, initialize through its reset/load path, then vary s before active edges. Cover each control combination, holds, boundary transitions and reset during activity. Clock/reset events in this source: posedge clk.</x:v>
      </x:c>
      <x:c r="I534" s="4" t="str">
        <x:v>Check fr3, fr2, fr1, dfr only at its defined valid time. Compare a cycle-by-cycle reference state/sequence, including reset polarity and priority. Sample registered results after nonblocking updates; combinational Mealy outputs may require a pre-edge check.</x:v>
      </x:c>
      <x:c r="J534" s="17"/>
      <x:c r="K534" s="24"/>
      <x:c r="L534" s="17"/>
      <x:c r="M534" s="17" t="str">
        <x:v>Compile this exercise separately because many files declare top_module. Use the original exercise statement as an independent oracle; helper stubs establish elaboration only.</x:v>
      </x:c>
      <x:c r="N534" s="4" t="str">
        <x:v>HDLBits Attempt 1/study/solutions/Day 05/118-exams__ece241_2013_q4.sv</x:v>
      </x:c>
      <x:c r="O534" s="25" t="str">
        <x:v>https://github.com/kapiltrip/hdlBits/blob/fc3f2b993a1e202ef42a8e831c29f8f287f85e7a/HDLBits%20Attempt%201/study/solutions/Day%2005/118-exams__ece241_2013_q4.sv</x:v>
      </x:c>
      <x:c r="P534" s="4" t="str">
        <x:f>IF(B534="Done",IF(OR(J534="",K534="",L534=""),"Add run evidence","Recorded"),IF(OR(B534="Blocked",B534="N/A"),IF(M534="","Add reason","Reason recorded"),""))</x:f>
      </x:c>
      <x:c r="Q534" s="4" t="str">
        <x:v>fc3f2b993a1e202ef42a8e831c29f8f287f85e7a</x:v>
      </x:c>
    </x:row>
    <x:row r="535" ht="86" customHeight="1">
      <x:c r="A535" s="15" t="str">
        <x:v>HDL-119</x:v>
      </x:c>
      <x:c r="B535" s="19" t="str">
        <x:v>Pending</x:v>
      </x:c>
      <x:c r="C535" s="15" t="str">
        <x:v>P1</x:v>
      </x:c>
      <x:c r="D535" s="15" t="str">
        <x:v>hdlBits</x:v>
      </x:c>
      <x:c r="E535" s="15" t="str">
        <x:v>Lemmings FSM</x:v>
      </x:c>
      <x:c r="F535" s="15" t="str">
        <x:v>Direction, priority and fall boundaries</x:v>
      </x:c>
      <x:c r="G535" s="15" t="str">
        <x:v>clk, areset, bump_left, bump_right, walk_left, walk_right</x:v>
      </x:c>
      <x:c r="H535" s="15" t="str">
        <x:v>Exercise clk, areset, bump_left, bump_right, walk_left, walk_right: both bumpers, every direction, loss/restoration of ground, digging where present, and reset from every behavior. In lemmings4 use falls of 19,20,21 and more than 32 clocks, including after digging.</x:v>
      </x:c>
      <x:c r="I535" s="15" t="str">
        <x:v>Reset walks left. Only the bumper in the current direction turns walking. Falling overrides walking; digging has its specified priority. Check mutually exclusive outputs, landing direction and the fatal-fall threshold without counter wrap resurrecting the character. Source mapping: walk_left = (state == left); walk_right = (state == right).</x:v>
      </x:c>
      <x:c r="J535" s="17"/>
      <x:c r="K535" s="24"/>
      <x:c r="L535" s="17"/>
      <x:c r="M535" s="17" t="str">
        <x:v>Compile this exercise separately because many files declare top_module. Use the original exercise statement as an independent oracle; helper stubs establish elaboration only.</x:v>
      </x:c>
      <x:c r="N535" s="15" t="str">
        <x:v>HDLBits Attempt 1/study/solutions/Day 05/119-lemmings1.sv</x:v>
      </x:c>
      <x:c r="O535" s="26" t="str">
        <x:v>https://github.com/kapiltrip/hdlBits/blob/fc3f2b993a1e202ef42a8e831c29f8f287f85e7a/HDLBits%20Attempt%201/study/solutions/Day%2005/119-lemmings1.sv</x:v>
      </x:c>
      <x:c r="P535" s="15" t="str">
        <x:f>IF(B535="Done",IF(OR(J535="",K535="",L535=""),"Add run evidence","Recorded"),IF(OR(B535="Blocked",B535="N/A"),IF(M535="","Add reason","Reason recorded"),""))</x:f>
      </x:c>
      <x:c r="Q535" s="15" t="str">
        <x:v>fc3f2b993a1e202ef42a8e831c29f8f287f85e7a</x:v>
      </x:c>
    </x:row>
    <x:row r="536" ht="86" customHeight="1">
      <x:c r="A536" s="4" t="str">
        <x:v>HDL-120</x:v>
      </x:c>
      <x:c r="B536" s="19" t="str">
        <x:v>Pending</x:v>
      </x:c>
      <x:c r="C536" s="4" t="str">
        <x:v>P1</x:v>
      </x:c>
      <x:c r="D536" s="4" t="str">
        <x:v>hdlBits</x:v>
      </x:c>
      <x:c r="E536" s="4" t="str">
        <x:v>Sequential logic</x:v>
      </x:c>
      <x:c r="F536" s="4" t="str">
        <x:v>Reset, control priority and cycle behavior</x:v>
      </x:c>
      <x:c r="G536" s="4" t="str">
        <x:v>clk, resetn, x, y, f, g</x:v>
      </x:c>
      <x:c r="H536" s="4" t="str">
        <x:v>For top_module, initialize through its reset/load path, then vary x, y before active edges. Cover each control combination, holds, boundary transitions and reset during activity. Clock/reset events in this source: posedge clk.</x:v>
      </x:c>
      <x:c r="I536" s="4" t="str">
        <x:v>Check f, g only at its defined valid time. Compare a cycle-by-cycle reference state/sequence, including reset polarity and priority. Sample registered results after nonblocking updates; combinational Mealy outputs may require a pre-edge check. Source mapping: f = (state == B); g = (state == F) || (state == G) || (state == H).</x:v>
      </x:c>
      <x:c r="J536" s="17"/>
      <x:c r="K536" s="24"/>
      <x:c r="L536" s="17"/>
      <x:c r="M536" s="17" t="str">
        <x:v>Compile this exercise separately because many files declare top_module. Use the original exercise statement as an independent oracle; helper stubs establish elaboration only.</x:v>
      </x:c>
      <x:c r="N536" s="4" t="str">
        <x:v>HDLBits Attempt 1/study/solutions/Day 06/121-exams__2013_q2bfsm.sv</x:v>
      </x:c>
      <x:c r="O536" s="25" t="str">
        <x:v>https://github.com/kapiltrip/hdlBits/blob/fc3f2b993a1e202ef42a8e831c29f8f287f85e7a/HDLBits%20Attempt%201/study/solutions/Day%2006/121-exams__2013_q2bfsm.sv</x:v>
      </x:c>
      <x:c r="P536" s="4" t="str">
        <x:f>IF(B536="Done",IF(OR(J536="",K536="",L536=""),"Add run evidence","Recorded"),IF(OR(B536="Blocked",B536="N/A"),IF(M536="","Add reason","Reason recorded"),""))</x:f>
      </x:c>
      <x:c r="Q536" s="4" t="str">
        <x:v>fc3f2b993a1e202ef42a8e831c29f8f287f85e7a</x:v>
      </x:c>
    </x:row>
    <x:row r="537" ht="86" customHeight="1">
      <x:c r="A537" s="15" t="str">
        <x:v>HDL-121</x:v>
      </x:c>
      <x:c r="B537" s="19" t="str">
        <x:v>Pending</x:v>
      </x:c>
      <x:c r="C537" s="15" t="str">
        <x:v>P1</x:v>
      </x:c>
      <x:c r="D537" s="15" t="str">
        <x:v>hdlBits</x:v>
      </x:c>
      <x:c r="E537" s="15" t="str">
        <x:v>Multiplexer</x:v>
      </x:c>
      <x:c r="F537" s="15" t="str">
        <x:v>Every select and unselected-input isolation</x:v>
      </x:c>
      <x:c r="G537" s="15" t="str">
        <x:v>sel, a, b, out</x:v>
      </x:c>
      <x:c r="H537" s="15" t="str">
        <x:v>Sweep sel through all encodings; set data inputs to distinguishable patterns, then toggle only unselected inputs.</x:v>
      </x:c>
      <x:c r="I537" s="15" t="str">
        <x:v>out equals the selected input. Exercise selected values 0 and 1 and vector extremes. Unselected changes do not affect the result; verify the default mapping for unused encodings. Source mapping: out = sel ? a : b.</x:v>
      </x:c>
      <x:c r="J537" s="17"/>
      <x:c r="K537" s="24"/>
      <x:c r="L537" s="17"/>
      <x:c r="M537" s="17" t="str">
        <x:v>Compile this exercise separately because many files declare top_module. Use the original exercise statement as an independent oracle; helper stubs establish elaboration only.</x:v>
      </x:c>
      <x:c r="N537" s="15" t="str">
        <x:v>HDLBits Attempt 1/study/solutions/Day 06/122-bugs_mux2.sv</x:v>
      </x:c>
      <x:c r="O537" s="26" t="str">
        <x:v>https://github.com/kapiltrip/hdlBits/blob/fc3f2b993a1e202ef42a8e831c29f8f287f85e7a/HDLBits%20Attempt%201/study/solutions/Day%2006/122-bugs_mux2.sv</x:v>
      </x:c>
      <x:c r="P537" s="15" t="str">
        <x:f>IF(B537="Done",IF(OR(J537="",K537="",L537=""),"Add run evidence","Recorded"),IF(OR(B537="Blocked",B537="N/A"),IF(M537="","Add reason","Reason recorded"),""))</x:f>
      </x:c>
      <x:c r="Q537" s="15" t="str">
        <x:v>fc3f2b993a1e202ef42a8e831c29f8f287f85e7a</x:v>
      </x:c>
    </x:row>
    <x:row r="538" ht="86" customHeight="1">
      <x:c r="A538" s="4" t="str">
        <x:v>HDL-122</x:v>
      </x:c>
      <x:c r="B538" s="19" t="str">
        <x:v>Pending</x:v>
      </x:c>
      <x:c r="C538" s="4" t="str">
        <x:v>P1</x:v>
      </x:c>
      <x:c r="D538" s="4" t="str">
        <x:v>hdlBits</x:v>
      </x:c>
      <x:c r="E538" s="4" t="str">
        <x:v>Combinational logic</x:v>
      </x:c>
      <x:c r="F538" s="4" t="str">
        <x:v>Input combinations and output mapping</x:v>
      </x:c>
      <x:c r="G538" s="4" t="str">
        <x:v>a, b, c, out</x:v>
      </x:c>
      <x:c r="H538" s="4" t="str">
        <x:v>Drive a, b, c through binary combinations when small; for vectors use zero, all ones, alternating bits and walking one/zero. Toggle one input at a time and include rapid changes after a previous nonzero result.</x:v>
      </x:c>
      <x:c r="I538" s="4" t="str">
        <x:v>Check out against an independently written truth table. Combinational results must settle without a clock or stale retained values.</x:v>
      </x:c>
      <x:c r="J538" s="17"/>
      <x:c r="K538" s="24"/>
      <x:c r="L538" s="17"/>
      <x:c r="M538" s="17" t="str">
        <x:v>Compile this exercise separately because many files declare top_module. Use the original exercise statement as an independent oracle; helper stubs establish elaboration only.</x:v>
      </x:c>
      <x:c r="N538" s="4" t="str">
        <x:v>HDLBits Attempt 1/study/solutions/Day 06/123-bugs_nand3.sv</x:v>
      </x:c>
      <x:c r="O538" s="25" t="str">
        <x:v>https://github.com/kapiltrip/hdlBits/blob/fc3f2b993a1e202ef42a8e831c29f8f287f85e7a/HDLBits%20Attempt%201/study/solutions/Day%2006/123-bugs_nand3.sv</x:v>
      </x:c>
      <x:c r="P538" s="4" t="str">
        <x:f>IF(B538="Done",IF(OR(J538="",K538="",L538=""),"Add run evidence","Recorded"),IF(OR(B538="Blocked",B538="N/A"),IF(M538="","Add reason","Reason recorded"),""))</x:f>
      </x:c>
      <x:c r="Q538" s="4" t="str">
        <x:v>fc3f2b993a1e202ef42a8e831c29f8f287f85e7a</x:v>
      </x:c>
    </x:row>
    <x:row r="539" ht="86" customHeight="1">
      <x:c r="A539" s="15" t="str">
        <x:v>HDL-123</x:v>
      </x:c>
      <x:c r="B539" s="19" t="str">
        <x:v>Pending</x:v>
      </x:c>
      <x:c r="C539" s="15" t="str">
        <x:v>P1</x:v>
      </x:c>
      <x:c r="D539" s="15" t="str">
        <x:v>hdlBits</x:v>
      </x:c>
      <x:c r="E539" s="15" t="str">
        <x:v>Multiplexer</x:v>
      </x:c>
      <x:c r="F539" s="15" t="str">
        <x:v>Every select and unselected-input isolation</x:v>
      </x:c>
      <x:c r="G539" s="15" t="str">
        <x:v>sel, a, b, c, d, out</x:v>
      </x:c>
      <x:c r="H539" s="15" t="str">
        <x:v>Sweep sel through all encodings; set data inputs to distinguishable patterns, then toggle only unselected inputs.</x:v>
      </x:c>
      <x:c r="I539" s="15" t="str">
        <x:v>out equals the selected input. Exercise selected values 0 and 1 and vector extremes. Unselected changes do not affect the result; verify the default mapping for unused encodings.</x:v>
      </x:c>
      <x:c r="J539" s="17"/>
      <x:c r="K539" s="24"/>
      <x:c r="L539" s="17"/>
      <x:c r="M539" s="17" t="str">
        <x:v>Compile this exercise separately because many files declare top_module. Use the original exercise statement as an independent oracle; helper stubs establish elaboration only.</x:v>
      </x:c>
      <x:c r="N539" s="15" t="str">
        <x:v>HDLBits Attempt 1/study/solutions/Day 06/124-bugs_mux4.sv</x:v>
      </x:c>
      <x:c r="O539" s="26" t="str">
        <x:v>https://github.com/kapiltrip/hdlBits/blob/fc3f2b993a1e202ef42a8e831c29f8f287f85e7a/HDLBits%20Attempt%201/study/solutions/Day%2006/124-bugs_mux4.sv</x:v>
      </x:c>
      <x:c r="P539" s="15" t="str">
        <x:f>IF(B539="Done",IF(OR(J539="",K539="",L539=""),"Add run evidence","Recorded"),IF(OR(B539="Blocked",B539="N/A"),IF(M539="","Add reason","Reason recorded"),""))</x:f>
      </x:c>
      <x:c r="Q539" s="15" t="str">
        <x:v>fc3f2b993a1e202ef42a8e831c29f8f287f85e7a</x:v>
      </x:c>
    </x:row>
    <x:row r="540" ht="86" customHeight="1">
      <x:c r="A540" s="4" t="str">
        <x:v>HDL-124</x:v>
      </x:c>
      <x:c r="B540" s="19" t="str">
        <x:v>Pending</x:v>
      </x:c>
      <x:c r="C540" s="4" t="str">
        <x:v>P1</x:v>
      </x:c>
      <x:c r="D540" s="4" t="str">
        <x:v>hdlBits</x:v>
      </x:c>
      <x:c r="E540" s="4" t="str">
        <x:v>Arithmetic</x:v>
      </x:c>
      <x:c r="F540" s="4" t="str">
        <x:v>Arithmetic, carry/borrow and width</x:v>
      </x:c>
      <x:c r="G540" s="4" t="str">
        <x:v>do_sub, a, b, out, result_is_zero</x:v>
      </x:c>
      <x:c r="H540" s="4" t="str">
        <x:v>Exercise do_sub, a, b at zero, one, maximum, alternating patterns and long carry/borrow chains. Exhaust all combinations for small widths; include both carry-in/subtract settings when present.</x:v>
      </x:c>
      <x:c r="I540" s="4" t="str">
        <x:v>Compute the integer arithmetic independently, then apply the declared result width. Check every out, result_is_zero bit including carry, borrow or signed overflow where exposed. Carry-out and signed overflow are different. </x:v>
      </x:c>
      <x:c r="J540" s="17"/>
      <x:c r="K540" s="24"/>
      <x:c r="L540" s="17"/>
      <x:c r="M540" s="17" t="str">
        <x:v>Compile this exercise separately because many files declare top_module. Use the original exercise statement as an independent oracle; helper stubs establish elaboration only.</x:v>
      </x:c>
      <x:c r="N540" s="4" t="str">
        <x:v>HDLBits Attempt 1/study/solutions/Day 06/125-bugs_addsubz.sv</x:v>
      </x:c>
      <x:c r="O540" s="25" t="str">
        <x:v>https://github.com/kapiltrip/hdlBits/blob/fc3f2b993a1e202ef42a8e831c29f8f287f85e7a/HDLBits%20Attempt%201/study/solutions/Day%2006/125-bugs_addsubz.sv</x:v>
      </x:c>
      <x:c r="P540" s="4" t="str">
        <x:f>IF(B540="Done",IF(OR(J540="",K540="",L540=""),"Add run evidence","Recorded"),IF(OR(B540="Blocked",B540="N/A"),IF(M540="","Add reason","Reason recorded"),""))</x:f>
      </x:c>
      <x:c r="Q540" s="4" t="str">
        <x:v>fc3f2b993a1e202ef42a8e831c29f8f287f85e7a</x:v>
      </x:c>
    </x:row>
    <x:row r="541" ht="86" customHeight="1">
      <x:c r="A541" s="15" t="str">
        <x:v>HDL-125</x:v>
      </x:c>
      <x:c r="B541" s="19" t="str">
        <x:v>Pending</x:v>
      </x:c>
      <x:c r="C541" s="15" t="str">
        <x:v>P1</x:v>
      </x:c>
      <x:c r="D541" s="15" t="str">
        <x:v>hdlBits</x:v>
      </x:c>
      <x:c r="E541" s="15" t="str">
        <x:v>Combinational logic</x:v>
      </x:c>
      <x:c r="F541" s="15" t="str">
        <x:v>Input combinations and output mapping</x:v>
      </x:c>
      <x:c r="G541" s="15" t="str">
        <x:v>code, out, valid</x:v>
      </x:c>
      <x:c r="H541" s="15" t="str">
        <x:v>Drive code through binary combinations when small; for vectors use zero, all ones, alternating bits and walking one/zero. Toggle one input at a time and include rapid changes after a previous nonzero result.</x:v>
      </x:c>
      <x:c r="I541" s="15" t="str">
        <x:v>Check out, valid against an independently written truth table. Combinational results must settle without a clock or stale retained values.</x:v>
      </x:c>
      <x:c r="J541" s="17"/>
      <x:c r="K541" s="24"/>
      <x:c r="L541" s="17"/>
      <x:c r="M541" s="17" t="str">
        <x:v>Compile this exercise separately because many files declare top_module. Use the original exercise statement as an independent oracle; helper stubs establish elaboration only.</x:v>
      </x:c>
      <x:c r="N541" s="15" t="str">
        <x:v>HDLBits Attempt 1/study/solutions/Day 06/126-bugs_case.sv</x:v>
      </x:c>
      <x:c r="O541" s="26" t="str">
        <x:v>https://github.com/kapiltrip/hdlBits/blob/fc3f2b993a1e202ef42a8e831c29f8f287f85e7a/HDLBits%20Attempt%201/study/solutions/Day%2006/126-bugs_case.sv</x:v>
      </x:c>
      <x:c r="P541" s="15" t="str">
        <x:f>IF(B541="Done",IF(OR(J541="",K541="",L541=""),"Add run evidence","Recorded"),IF(OR(B541="Blocked",B541="N/A"),IF(M541="","Add reason","Reason recorded"),""))</x:f>
      </x:c>
      <x:c r="Q541" s="15" t="str">
        <x:v>fc3f2b993a1e202ef42a8e831c29f8f287f85e7a</x:v>
      </x:c>
    </x:row>
    <x:row r="542" ht="86" customHeight="1">
      <x:c r="A542" s="4" t="str">
        <x:v>HDL-126</x:v>
      </x:c>
      <x:c r="B542" s="19" t="str">
        <x:v>Pending</x:v>
      </x:c>
      <x:c r="C542" s="4" t="str">
        <x:v>P1</x:v>
      </x:c>
      <x:c r="D542" s="4" t="str">
        <x:v>hdlBits</x:v>
      </x:c>
      <x:c r="E542" s="4" t="str">
        <x:v>Combinational logic</x:v>
      </x:c>
      <x:c r="F542" s="4" t="str">
        <x:v>Input combinations and output mapping</x:v>
      </x:c>
      <x:c r="G542" s="4" t="str">
        <x:v>a, b, q</x:v>
      </x:c>
      <x:c r="H542" s="4" t="str">
        <x:v>Drive a, b through binary combinations when small; for vectors use zero, all ones, alternating bits and walking one/zero. Toggle one input at a time and include rapid changes after a previous nonzero result.</x:v>
      </x:c>
      <x:c r="I542" s="4" t="str">
        <x:v>Check q against an independently written truth table. Combinational results must settle without a clock or stale retained values. Source mapping: q = a &amp; b.</x:v>
      </x:c>
      <x:c r="J542" s="17"/>
      <x:c r="K542" s="24"/>
      <x:c r="L542" s="17"/>
      <x:c r="M542" s="17" t="str">
        <x:v>Compile this exercise separately because many files declare top_module. Use the original exercise statement as an independent oracle; helper stubs establish elaboration only.</x:v>
      </x:c>
      <x:c r="N542" s="4" t="str">
        <x:v>HDLBits Attempt 1/study/solutions/Day 06/127-sim__circuit1.sv</x:v>
      </x:c>
      <x:c r="O542" s="25" t="str">
        <x:v>https://github.com/kapiltrip/hdlBits/blob/fc3f2b993a1e202ef42a8e831c29f8f287f85e7a/HDLBits%20Attempt%201/study/solutions/Day%2006/127-sim__circuit1.sv</x:v>
      </x:c>
      <x:c r="P542" s="4" t="str">
        <x:f>IF(B542="Done",IF(OR(J542="",K542="",L542=""),"Add run evidence","Recorded"),IF(OR(B542="Blocked",B542="N/A"),IF(M542="","Add reason","Reason recorded"),""))</x:f>
      </x:c>
      <x:c r="Q542" s="4" t="str">
        <x:v>fc3f2b993a1e202ef42a8e831c29f8f287f85e7a</x:v>
      </x:c>
    </x:row>
    <x:row r="543" ht="86" customHeight="1">
      <x:c r="A543" s="15" t="str">
        <x:v>HDL-127</x:v>
      </x:c>
      <x:c r="B543" s="19" t="str">
        <x:v>Pending</x:v>
      </x:c>
      <x:c r="C543" s="15" t="str">
        <x:v>P1</x:v>
      </x:c>
      <x:c r="D543" s="15" t="str">
        <x:v>hdlBits</x:v>
      </x:c>
      <x:c r="E543" s="15" t="str">
        <x:v>Combinational logic</x:v>
      </x:c>
      <x:c r="F543" s="15" t="str">
        <x:v>Input combinations and output mapping</x:v>
      </x:c>
      <x:c r="G543" s="15" t="str">
        <x:v>a, b, c, d, q</x:v>
      </x:c>
      <x:c r="H543" s="15" t="str">
        <x:v>Drive a, b, c, d through binary combinations when small; for vectors use zero, all ones, alternating bits and walking one/zero. Toggle one input at a time and include rapid changes after a previous nonzero result.</x:v>
      </x:c>
      <x:c r="I543" s="15" t="str">
        <x:v>Check q against an independently written truth table. Combinational results must settle without a clock or stale retained values. Source mapping: q = ~(a ^ b ^ c ^ d).</x:v>
      </x:c>
      <x:c r="J543" s="17"/>
      <x:c r="K543" s="24"/>
      <x:c r="L543" s="17"/>
      <x:c r="M543" s="17" t="str">
        <x:v>Compile this exercise separately because many files declare top_module. Use the original exercise statement as an independent oracle; helper stubs establish elaboration only.</x:v>
      </x:c>
      <x:c r="N543" s="15" t="str">
        <x:v>HDLBits Attempt 1/study/solutions/Day 06/128-sim__circuit2.sv</x:v>
      </x:c>
      <x:c r="O543" s="26" t="str">
        <x:v>https://github.com/kapiltrip/hdlBits/blob/fc3f2b993a1e202ef42a8e831c29f8f287f85e7a/HDLBits%20Attempt%201/study/solutions/Day%2006/128-sim__circuit2.sv</x:v>
      </x:c>
      <x:c r="P543" s="15" t="str">
        <x:f>IF(B543="Done",IF(OR(J543="",K543="",L543=""),"Add run evidence","Recorded"),IF(OR(B543="Blocked",B543="N/A"),IF(M543="","Add reason","Reason recorded"),""))</x:f>
      </x:c>
      <x:c r="Q543" s="15" t="str">
        <x:v>fc3f2b993a1e202ef42a8e831c29f8f287f85e7a</x:v>
      </x:c>
    </x:row>
    <x:row r="544" ht="86" customHeight="1">
      <x:c r="A544" s="4" t="str">
        <x:v>HDL-128</x:v>
      </x:c>
      <x:c r="B544" s="19" t="str">
        <x:v>Pending</x:v>
      </x:c>
      <x:c r="C544" s="4" t="str">
        <x:v>P1</x:v>
      </x:c>
      <x:c r="D544" s="4" t="str">
        <x:v>hdlBits</x:v>
      </x:c>
      <x:c r="E544" s="4" t="str">
        <x:v>Combinational logic</x:v>
      </x:c>
      <x:c r="F544" s="4" t="str">
        <x:v>Input combinations and output mapping</x:v>
      </x:c>
      <x:c r="G544" s="4" t="str">
        <x:v>a, b, c, d, q</x:v>
      </x:c>
      <x:c r="H544" s="4" t="str">
        <x:v>Drive a, b, c, d through binary combinations when small; for vectors use zero, all ones, alternating bits and walking one/zero. Toggle one input at a time and include rapid changes after a previous nonzero result.</x:v>
      </x:c>
      <x:c r="I544" s="4" t="str">
        <x:v>Check q against an independently written truth table. Combinational results must settle without a clock or stale retained values. Source mapping: q = (d &amp; (a | b)) | (c &amp; (a | b)).</x:v>
      </x:c>
      <x:c r="J544" s="17"/>
      <x:c r="K544" s="24"/>
      <x:c r="L544" s="17"/>
      <x:c r="M544" s="17" t="str">
        <x:v>Compile this exercise separately because many files declare top_module. Use the original exercise statement as an independent oracle; helper stubs establish elaboration only.</x:v>
      </x:c>
      <x:c r="N544" s="4" t="str">
        <x:v>HDLBits Attempt 1/study/solutions/Day 06/129-sim__circuit3.sv</x:v>
      </x:c>
      <x:c r="O544" s="25" t="str">
        <x:v>https://github.com/kapiltrip/hdlBits/blob/fc3f2b993a1e202ef42a8e831c29f8f287f85e7a/HDLBits%20Attempt%201/study/solutions/Day%2006/129-sim__circuit3.sv</x:v>
      </x:c>
      <x:c r="P544" s="4" t="str">
        <x:f>IF(B544="Done",IF(OR(J544="",K544="",L544=""),"Add run evidence","Recorded"),IF(OR(B544="Blocked",B544="N/A"),IF(M544="","Add reason","Reason recorded"),""))</x:f>
      </x:c>
      <x:c r="Q544" s="4" t="str">
        <x:v>fc3f2b993a1e202ef42a8e831c29f8f287f85e7a</x:v>
      </x:c>
    </x:row>
    <x:row r="545" ht="86" customHeight="1">
      <x:c r="A545" s="15" t="str">
        <x:v>HDL-129</x:v>
      </x:c>
      <x:c r="B545" s="19" t="str">
        <x:v>Pending</x:v>
      </x:c>
      <x:c r="C545" s="15" t="str">
        <x:v>P1</x:v>
      </x:c>
      <x:c r="D545" s="15" t="str">
        <x:v>hdlBits</x:v>
      </x:c>
      <x:c r="E545" s="15" t="str">
        <x:v>Combinational logic</x:v>
      </x:c>
      <x:c r="F545" s="15" t="str">
        <x:v>Input combinations and output mapping</x:v>
      </x:c>
      <x:c r="G545" s="15" t="str">
        <x:v>a, b, c, d, q</x:v>
      </x:c>
      <x:c r="H545" s="15" t="str">
        <x:v>Drive a, b, c, d through binary combinations when small; for vectors use zero, all ones, alternating bits and walking one/zero. Toggle one input at a time and include rapid changes after a previous nonzero result.</x:v>
      </x:c>
      <x:c r="I545" s="15" t="str">
        <x:v>Check q against an independently written truth table. Combinational results must settle without a clock or stale retained values. Source mapping: q = b | c.</x:v>
      </x:c>
      <x:c r="J545" s="17"/>
      <x:c r="K545" s="24"/>
      <x:c r="L545" s="17"/>
      <x:c r="M545" s="17" t="str">
        <x:v>Compile this exercise separately because many files declare top_module. Use the original exercise statement as an independent oracle; helper stubs establish elaboration only.</x:v>
      </x:c>
      <x:c r="N545" s="15" t="str">
        <x:v>HDLBits Attempt 1/study/solutions/Day 06/130-sim__circuit4.sv</x:v>
      </x:c>
      <x:c r="O545" s="26" t="str">
        <x:v>https://github.com/kapiltrip/hdlBits/blob/fc3f2b993a1e202ef42a8e831c29f8f287f85e7a/HDLBits%20Attempt%201/study/solutions/Day%2006/130-sim__circuit4.sv</x:v>
      </x:c>
      <x:c r="P545" s="15" t="str">
        <x:f>IF(B545="Done",IF(OR(J545="",K545="",L545=""),"Add run evidence","Recorded"),IF(OR(B545="Blocked",B545="N/A"),IF(M545="","Add reason","Reason recorded"),""))</x:f>
      </x:c>
      <x:c r="Q545" s="15" t="str">
        <x:v>fc3f2b993a1e202ef42a8e831c29f8f287f85e7a</x:v>
      </x:c>
    </x:row>
    <x:row r="546" ht="86" customHeight="1">
      <x:c r="A546" s="4" t="str">
        <x:v>HDL-130</x:v>
      </x:c>
      <x:c r="B546" s="19" t="str">
        <x:v>Pending</x:v>
      </x:c>
      <x:c r="C546" s="4" t="str">
        <x:v>P1</x:v>
      </x:c>
      <x:c r="D546" s="4" t="str">
        <x:v>hdlBits</x:v>
      </x:c>
      <x:c r="E546" s="4" t="str">
        <x:v>Combinational logic</x:v>
      </x:c>
      <x:c r="F546" s="4" t="str">
        <x:v>Input combinations and output mapping</x:v>
      </x:c>
      <x:c r="G546" s="4" t="str">
        <x:v>a, b, c, d, e, q</x:v>
      </x:c>
      <x:c r="H546" s="4" t="str">
        <x:v>Drive a, b, c, d, e through binary combinations when small; for vectors use zero, all ones, alternating bits and walking one/zero. Toggle one input at a time and include rapid changes after a previous nonzero result.</x:v>
      </x:c>
      <x:c r="I546" s="4" t="str">
        <x:v>Check q against an independently written truth table. Combinational results must settle without a clock or stale retained values.</x:v>
      </x:c>
      <x:c r="J546" s="17"/>
      <x:c r="K546" s="24"/>
      <x:c r="L546" s="17"/>
      <x:c r="M546" s="17" t="str">
        <x:v>Compile this exercise separately because many files declare top_module. Use the original exercise statement as an independent oracle; helper stubs establish elaboration only.</x:v>
      </x:c>
      <x:c r="N546" s="4" t="str">
        <x:v>HDLBits Attempt 1/study/solutions/Day 06/131-sim__circuit5.sv</x:v>
      </x:c>
      <x:c r="O546" s="25" t="str">
        <x:v>https://github.com/kapiltrip/hdlBits/blob/fc3f2b993a1e202ef42a8e831c29f8f287f85e7a/HDLBits%20Attempt%201/study/solutions/Day%2006/131-sim__circuit5.sv</x:v>
      </x:c>
      <x:c r="P546" s="4" t="str">
        <x:f>IF(B546="Done",IF(OR(J546="",K546="",L546=""),"Add run evidence","Recorded"),IF(OR(B546="Blocked",B546="N/A"),IF(M546="","Add reason","Reason recorded"),""))</x:f>
      </x:c>
      <x:c r="Q546" s="4" t="str">
        <x:v>fc3f2b993a1e202ef42a8e831c29f8f287f85e7a</x:v>
      </x:c>
    </x:row>
    <x:row r="547" ht="86" customHeight="1">
      <x:c r="A547" s="15" t="str">
        <x:v>HDL-131</x:v>
      </x:c>
      <x:c r="B547" s="19" t="str">
        <x:v>Pending</x:v>
      </x:c>
      <x:c r="C547" s="15" t="str">
        <x:v>P1</x:v>
      </x:c>
      <x:c r="D547" s="15" t="str">
        <x:v>hdlBits</x:v>
      </x:c>
      <x:c r="E547" s="15" t="str">
        <x:v>Combinational logic</x:v>
      </x:c>
      <x:c r="F547" s="15" t="str">
        <x:v>Input combinations and output mapping</x:v>
      </x:c>
      <x:c r="G547" s="15" t="str">
        <x:v>a, q</x:v>
      </x:c>
      <x:c r="H547" s="15" t="str">
        <x:v>Drive a through binary combinations when small; for vectors use zero, all ones, alternating bits and walking one/zero. Toggle one input at a time and include rapid changes after a previous nonzero result.</x:v>
      </x:c>
      <x:c r="I547" s="15" t="str">
        <x:v>Check q against an independently written truth table. Combinational results must settle without a clock or stale retained values.</x:v>
      </x:c>
      <x:c r="J547" s="17"/>
      <x:c r="K547" s="24"/>
      <x:c r="L547" s="17"/>
      <x:c r="M547" s="17" t="str">
        <x:v>Compile this exercise separately because many files declare top_module. Use the original exercise statement as an independent oracle; helper stubs establish elaboration only.</x:v>
      </x:c>
      <x:c r="N547" s="15" t="str">
        <x:v>HDLBits Attempt 1/study/solutions/Day 06/132-sim__circuit6.sv</x:v>
      </x:c>
      <x:c r="O547" s="26" t="str">
        <x:v>https://github.com/kapiltrip/hdlBits/blob/fc3f2b993a1e202ef42a8e831c29f8f287f85e7a/HDLBits%20Attempt%201/study/solutions/Day%2006/132-sim__circuit6.sv</x:v>
      </x:c>
      <x:c r="P547" s="15" t="str">
        <x:f>IF(B547="Done",IF(OR(J547="",K547="",L547=""),"Add run evidence","Recorded"),IF(OR(B547="Blocked",B547="N/A"),IF(M547="","Add reason","Reason recorded"),""))</x:f>
      </x:c>
      <x:c r="Q547" s="15" t="str">
        <x:v>fc3f2b993a1e202ef42a8e831c29f8f287f85e7a</x:v>
      </x:c>
    </x:row>
    <x:row r="548" ht="86" customHeight="1">
      <x:c r="A548" s="4" t="str">
        <x:v>HDL-132</x:v>
      </x:c>
      <x:c r="B548" s="19" t="str">
        <x:v>Pending</x:v>
      </x:c>
      <x:c r="C548" s="4" t="str">
        <x:v>P1</x:v>
      </x:c>
      <x:c r="D548" s="4" t="str">
        <x:v>hdlBits</x:v>
      </x:c>
      <x:c r="E548" s="4" t="str">
        <x:v>Sequential logic</x:v>
      </x:c>
      <x:c r="F548" s="4" t="str">
        <x:v>Reset, control priority and cycle behavior</x:v>
      </x:c>
      <x:c r="G548" s="4" t="str">
        <x:v>clk, a, q</x:v>
      </x:c>
      <x:c r="H548" s="4" t="str">
        <x:v>For top_module, initialize through its reset/load path, then vary a before active edges. Cover each control combination, holds, boundary transitions and reset during activity. Clock/reset events in this source: posedge clk.</x:v>
      </x:c>
      <x:c r="I548" s="4" t="str">
        <x:v>Check q only at its defined valid time. Compare a cycle-by-cycle reference state/sequence, including reset polarity and priority. Sample registered results after nonblocking updates; combinational Mealy outputs may require a pre-edge check.</x:v>
      </x:c>
      <x:c r="J548" s="17"/>
      <x:c r="K548" s="24"/>
      <x:c r="L548" s="17"/>
      <x:c r="M548" s="17" t="str">
        <x:v>Compile this exercise separately because many files declare top_module. Use the original exercise statement as an independent oracle; helper stubs establish elaboration only.</x:v>
      </x:c>
      <x:c r="N548" s="4" t="str">
        <x:v>HDLBits Attempt 1/study/solutions/Day 06/133-sim__circuit7.sv</x:v>
      </x:c>
      <x:c r="O548" s="25" t="str">
        <x:v>https://github.com/kapiltrip/hdlBits/blob/fc3f2b993a1e202ef42a8e831c29f8f287f85e7a/HDLBits%20Attempt%201/study/solutions/Day%2006/133-sim__circuit7.sv</x:v>
      </x:c>
      <x:c r="P548" s="4" t="str">
        <x:f>IF(B548="Done",IF(OR(J548="",K548="",L548=""),"Add run evidence","Recorded"),IF(OR(B548="Blocked",B548="N/A"),IF(M548="","Add reason","Reason recorded"),""))</x:f>
      </x:c>
      <x:c r="Q548" s="4" t="str">
        <x:v>fc3f2b993a1e202ef42a8e831c29f8f287f85e7a</x:v>
      </x:c>
    </x:row>
    <x:row r="549" ht="86" customHeight="1">
      <x:c r="A549" s="15" t="str">
        <x:v>HDL-133</x:v>
      </x:c>
      <x:c r="B549" s="19" t="str">
        <x:v>Pending</x:v>
      </x:c>
      <x:c r="C549" s="15" t="str">
        <x:v>P1</x:v>
      </x:c>
      <x:c r="D549" s="15" t="str">
        <x:v>hdlBits</x:v>
      </x:c>
      <x:c r="E549" s="15" t="str">
        <x:v>Sequential logic</x:v>
      </x:c>
      <x:c r="F549" s="15" t="str">
        <x:v>Reset, control priority and cycle behavior</x:v>
      </x:c>
      <x:c r="G549" s="15" t="str">
        <x:v>clock, a, p, q</x:v>
      </x:c>
      <x:c r="H549" s="15" t="str">
        <x:v>For top_module, initialize through its reset/load path, then vary a before active edges. Cover each control combination, holds, boundary transitions and reset during activity. Clock/reset events in this source: negedge clock.</x:v>
      </x:c>
      <x:c r="I549" s="15" t="str">
        <x:v>Check p, q only at its defined valid time. Compare a cycle-by-cycle reference state/sequence, including reset polarity and priority. Sample registered results after nonblocking updates; combinational Mealy outputs may require a pre-edge check.</x:v>
      </x:c>
      <x:c r="J549" s="17"/>
      <x:c r="K549" s="24"/>
      <x:c r="L549" s="17"/>
      <x:c r="M549" s="17" t="str">
        <x:v>Compile this exercise separately because many files declare top_module. Use the original exercise statement as an independent oracle; helper stubs establish elaboration only.</x:v>
      </x:c>
      <x:c r="N549" s="15" t="str">
        <x:v>HDLBits Attempt 1/study/solutions/Day 06/134-sim__circuit8.sv</x:v>
      </x:c>
      <x:c r="O549" s="26" t="str">
        <x:v>https://github.com/kapiltrip/hdlBits/blob/fc3f2b993a1e202ef42a8e831c29f8f287f85e7a/HDLBits%20Attempt%201/study/solutions/Day%2006/134-sim__circuit8.sv</x:v>
      </x:c>
      <x:c r="P549" s="15" t="str">
        <x:f>IF(B549="Done",IF(OR(J549="",K549="",L549=""),"Add run evidence","Recorded"),IF(OR(B549="Blocked",B549="N/A"),IF(M549="","Add reason","Reason recorded"),""))</x:f>
      </x:c>
      <x:c r="Q549" s="15" t="str">
        <x:v>fc3f2b993a1e202ef42a8e831c29f8f287f85e7a</x:v>
      </x:c>
    </x:row>
    <x:row r="550" ht="86" customHeight="1">
      <x:c r="A550" s="4" t="str">
        <x:v>HDL-134</x:v>
      </x:c>
      <x:c r="B550" s="19" t="str">
        <x:v>Pending</x:v>
      </x:c>
      <x:c r="C550" s="4" t="str">
        <x:v>P1</x:v>
      </x:c>
      <x:c r="D550" s="4" t="str">
        <x:v>hdlBits</x:v>
      </x:c>
      <x:c r="E550" s="4" t="str">
        <x:v>Sequential logic</x:v>
      </x:c>
      <x:c r="F550" s="4" t="str">
        <x:v>Reset, control priority and cycle behavior</x:v>
      </x:c>
      <x:c r="G550" s="4" t="str">
        <x:v>clk, a, q</x:v>
      </x:c>
      <x:c r="H550" s="4" t="str">
        <x:v>For top_module, initialize through its reset/load path, then vary a before active edges. Cover each control combination, holds, boundary transitions and reset during activity. Clock/reset events in this source: posedge clk.</x:v>
      </x:c>
      <x:c r="I550" s="4" t="str">
        <x:v>Check q only at its defined valid time. Compare a cycle-by-cycle reference state/sequence, including reset polarity and priority. Sample registered results after nonblocking updates; combinational Mealy outputs may require a pre-edge check. Source mapping: q = count.</x:v>
      </x:c>
      <x:c r="J550" s="17"/>
      <x:c r="K550" s="24"/>
      <x:c r="L550" s="17"/>
      <x:c r="M550" s="17" t="str">
        <x:v>Compile this exercise separately because many files declare top_module. Use the original exercise statement as an independent oracle; helper stubs establish elaboration only.</x:v>
      </x:c>
      <x:c r="N550" s="4" t="str">
        <x:v>HDLBits Attempt 1/study/solutions/Day 06/135-sim__circuit9.sv</x:v>
      </x:c>
      <x:c r="O550" s="25" t="str">
        <x:v>https://github.com/kapiltrip/hdlBits/blob/fc3f2b993a1e202ef42a8e831c29f8f287f85e7a/HDLBits%20Attempt%201/study/solutions/Day%2006/135-sim__circuit9.sv</x:v>
      </x:c>
      <x:c r="P550" s="4" t="str">
        <x:f>IF(B550="Done",IF(OR(J550="",K550="",L550=""),"Add run evidence","Recorded"),IF(OR(B550="Blocked",B550="N/A"),IF(M550="","Add reason","Reason recorded"),""))</x:f>
      </x:c>
      <x:c r="Q550" s="4" t="str">
        <x:v>fc3f2b993a1e202ef42a8e831c29f8f287f85e7a</x:v>
      </x:c>
    </x:row>
    <x:row r="551" ht="86" customHeight="1">
      <x:c r="A551" s="15" t="str">
        <x:v>HDL-135</x:v>
      </x:c>
      <x:c r="B551" s="19" t="str">
        <x:v>Pending</x:v>
      </x:c>
      <x:c r="C551" s="15" t="str">
        <x:v>P1</x:v>
      </x:c>
      <x:c r="D551" s="15" t="str">
        <x:v>hdlBits</x:v>
      </x:c>
      <x:c r="E551" s="15" t="str">
        <x:v>Sequential logic</x:v>
      </x:c>
      <x:c r="F551" s="15" t="str">
        <x:v>Reset, control priority and cycle behavior</x:v>
      </x:c>
      <x:c r="G551" s="15" t="str">
        <x:v>clk, a, b, q, state</x:v>
      </x:c>
      <x:c r="H551" s="15" t="str">
        <x:v>For top_module, initialize through its reset/load path, then vary a, b before active edges. Cover each control combination, holds, boundary transitions and reset during activity. Clock/reset events in this source: posedge clk.</x:v>
      </x:c>
      <x:c r="I551" s="15" t="str">
        <x:v>Check q, state only at its defined valid time. Compare a cycle-by-cycle reference state/sequence, including reset polarity and priority. Sample registered results after nonblocking updates; combinational Mealy outputs may require a pre-edge check. Source mapping: q = a ^ b ^ state.</x:v>
      </x:c>
      <x:c r="J551" s="17"/>
      <x:c r="K551" s="24"/>
      <x:c r="L551" s="17"/>
      <x:c r="M551" s="17" t="str">
        <x:v>Compile this exercise separately because many files declare top_module. Use the original exercise statement as an independent oracle; helper stubs establish elaboration only.</x:v>
      </x:c>
      <x:c r="N551" s="15" t="str">
        <x:v>HDLBits Attempt 1/study/solutions/Day 06/136-sim__circuit10.sv</x:v>
      </x:c>
      <x:c r="O551" s="26" t="str">
        <x:v>https://github.com/kapiltrip/hdlBits/blob/fc3f2b993a1e202ef42a8e831c29f8f287f85e7a/HDLBits%20Attempt%201/study/solutions/Day%2006/136-sim__circuit10.sv</x:v>
      </x:c>
      <x:c r="P551" s="15" t="str">
        <x:f>IF(B551="Done",IF(OR(J551="",K551="",L551=""),"Add run evidence","Recorded"),IF(OR(B551="Blocked",B551="N/A"),IF(M551="","Add reason","Reason recorded"),""))</x:f>
      </x:c>
      <x:c r="Q551" s="15" t="str">
        <x:v>fc3f2b993a1e202ef42a8e831c29f8f287f85e7a</x:v>
      </x:c>
    </x:row>
    <x:row r="552" ht="86" customHeight="1">
      <x:c r="A552" s="4" t="str">
        <x:v>HDL-136</x:v>
      </x:c>
      <x:c r="B552" s="19" t="str">
        <x:v>Pending</x:v>
      </x:c>
      <x:c r="C552" s="4" t="str">
        <x:v>P1</x:v>
      </x:c>
      <x:c r="D552" s="4" t="str">
        <x:v>hdlBits</x:v>
      </x:c>
      <x:c r="E552" s="4" t="str">
        <x:v>Combinational logic</x:v>
      </x:c>
      <x:c r="F552" s="4" t="str">
        <x:v>Input combinations and output mapping</x:v>
      </x:c>
      <x:c r="G552" s="4" t="str">
        <x:v>A, B</x:v>
      </x:c>
      <x:c r="H552" s="4" t="str">
        <x:v>Drive the declared controls through binary combinations when small; for vectors use zero, all ones, alternating bits and walking one/zero. Toggle one input at a time and include rapid changes after a previous nonzero result.</x:v>
      </x:c>
      <x:c r="I552" s="4" t="str">
        <x:v>Check A, B against an independently written truth table. Combinational results must settle without a clock or stale retained values.</x:v>
      </x:c>
      <x:c r="J552" s="17"/>
      <x:c r="K552" s="24"/>
      <x:c r="L552" s="17"/>
      <x:c r="M552" s="17" t="str">
        <x:v>Compile this exercise separately because many files declare top_module. Use the original exercise statement as an independent oracle; helper stubs establish elaboration only.</x:v>
      </x:c>
      <x:c r="N552" s="4" t="str">
        <x:v>HDLBits Attempt 1/study/solutions/Day 06/138-tb__tb1.sv</x:v>
      </x:c>
      <x:c r="O552" s="25" t="str">
        <x:v>https://github.com/kapiltrip/hdlBits/blob/fc3f2b993a1e202ef42a8e831c29f8f287f85e7a/HDLBits%20Attempt%201/study/solutions/Day%2006/138-tb__tb1.sv</x:v>
      </x:c>
      <x:c r="P552" s="4" t="str">
        <x:f>IF(B552="Done",IF(OR(J552="",K552="",L552=""),"Add run evidence","Recorded"),IF(OR(B552="Blocked",B552="N/A"),IF(M552="","Add reason","Reason recorded"),""))</x:f>
      </x:c>
      <x:c r="Q552" s="4" t="str">
        <x:v>fc3f2b993a1e202ef42a8e831c29f8f287f85e7a</x:v>
      </x:c>
    </x:row>
    <x:row r="553" ht="86" customHeight="1">
      <x:c r="A553" s="15" t="str">
        <x:v>HDL-137</x:v>
      </x:c>
      <x:c r="B553" s="19" t="str">
        <x:v>Pending</x:v>
      </x:c>
      <x:c r="C553" s="15" t="str">
        <x:v>P1</x:v>
      </x:c>
      <x:c r="D553" s="15" t="str">
        <x:v>hdlBits</x:v>
      </x:c>
      <x:c r="E553" s="15" t="str">
        <x:v>Sequential logic</x:v>
      </x:c>
      <x:c r="F553" s="15" t="str">
        <x:v>Reset, control priority and cycle behavior</x:v>
      </x:c>
      <x:c r="G553" s="15" t="str">
        <x:v>clk, aresetn, x, z</x:v>
      </x:c>
      <x:c r="H553" s="15" t="str">
        <x:v>For top_module, initialize through its reset/load path, then vary x before active edges. Cover each control combination, holds, boundary transitions and reset during activity. Clock/reset events in this source: posedge clk, negedge aresetn.</x:v>
      </x:c>
      <x:c r="I553" s="15" t="str">
        <x:v>Check z only at its defined valid time. Compare a cycle-by-cycle reference state/sequence, including reset polarity and priority. Sample registered results after nonblocking updates; combinational Mealy outputs may require a pre-edge check. Source mapping: z = (state == S10) &amp;&amp; x.</x:v>
      </x:c>
      <x:c r="J553" s="17"/>
      <x:c r="K553" s="24"/>
      <x:c r="L553" s="17"/>
      <x:c r="M553" s="17" t="str">
        <x:v>Compile this exercise separately because many files declare top_module. Use the original exercise statement as an independent oracle; helper stubs establish elaboration only.</x:v>
      </x:c>
      <x:c r="N553" s="15" t="str">
        <x:v>HDLBits Attempt 1/study/solutions/Day 07/142-exams__ece241_2013_q8.sv</x:v>
      </x:c>
      <x:c r="O553" s="26" t="str">
        <x:v>https://github.com/kapiltrip/hdlBits/blob/fc3f2b993a1e202ef42a8e831c29f8f287f85e7a/HDLBits%20Attempt%201/study/solutions/Day%2007/142-exams__ece241_2013_q8.sv</x:v>
      </x:c>
      <x:c r="P553" s="15" t="str">
        <x:f>IF(B553="Done",IF(OR(J553="",K553="",L553=""),"Add run evidence","Recorded"),IF(OR(B553="Blocked",B553="N/A"),IF(M553="","Add reason","Reason recorded"),""))</x:f>
      </x:c>
      <x:c r="Q553" s="15" t="str">
        <x:v>fc3f2b993a1e202ef42a8e831c29f8f287f85e7a</x:v>
      </x:c>
    </x:row>
    <x:row r="554" ht="86" customHeight="1">
      <x:c r="A554" s="4" t="str">
        <x:v>HDL-138</x:v>
      </x:c>
      <x:c r="B554" s="19" t="str">
        <x:v>Pending</x:v>
      </x:c>
      <x:c r="C554" s="4" t="str">
        <x:v>P1</x:v>
      </x:c>
      <x:c r="D554" s="4" t="str">
        <x:v>hdlBits</x:v>
      </x:c>
      <x:c r="E554" s="4" t="str">
        <x:v>Sequential logic</x:v>
      </x:c>
      <x:c r="F554" s="4" t="str">
        <x:v>Reset, control priority and cycle behavior</x:v>
      </x:c>
      <x:c r="G554" s="4" t="str">
        <x:v>clk, reset, enable, Q, c_enable, c_load, c_d</x:v>
      </x:c>
      <x:c r="H554" s="4" t="str">
        <x:v>For top_module, initialize through its reset/load path, then vary enable before active edges. Cover each control combination, holds, boundary transitions and reset during activity. Clock/reset events in this source: inspect the instantiated modules for clock edge and reset polarity.</x:v>
      </x:c>
      <x:c r="I554" s="4" t="str">
        <x:v>Check Q, c_enable, c_load, c_d only at its defined valid time. Compare a cycle-by-cycle reference state/sequence, including reset polarity and priority. Sample registered results after nonblocking updates; combinational Mealy outputs may require a pre-edge check. Source mapping: c_enable = enable; c_load = reset | (enable &amp; (Q == 4'd12)); c_d = 4'd1.</x:v>
      </x:c>
      <x:c r="J554" s="17"/>
      <x:c r="K554" s="24"/>
      <x:c r="L554" s="17"/>
      <x:c r="M554" s="17" t="str">
        <x:v>Compile this exercise separately because many files declare top_module. Use the original exercise statement as an independent oracle; helper stubs establish elaboration only.</x:v>
      </x:c>
      <x:c r="N554" s="4" t="str">
        <x:v>HDLBits Attempt 1/study/solutions/Day 08/143-exams__ece241_2014_q7a.sv</x:v>
      </x:c>
      <x:c r="O554" s="25" t="str">
        <x:v>https://github.com/kapiltrip/hdlBits/blob/fc3f2b993a1e202ef42a8e831c29f8f287f85e7a/HDLBits%20Attempt%201/study/solutions/Day%2008/143-exams__ece241_2014_q7a.sv</x:v>
      </x:c>
      <x:c r="P554" s="4" t="str">
        <x:f>IF(B554="Done",IF(OR(J554="",K554="",L554=""),"Add run evidence","Recorded"),IF(OR(B554="Blocked",B554="N/A"),IF(M554="","Add reason","Reason recorded"),""))</x:f>
      </x:c>
      <x:c r="Q554" s="4" t="str">
        <x:v>fc3f2b993a1e202ef42a8e831c29f8f287f85e7a</x:v>
      </x:c>
    </x:row>
    <x:row r="555" ht="96" customHeight="1">
      <x:c r="A555" s="15" t="str">
        <x:v>HDL-139</x:v>
      </x:c>
      <x:c r="B555" s="19" t="str">
        <x:v>Pending</x:v>
      </x:c>
      <x:c r="C555" s="15" t="str">
        <x:v>P1</x:v>
      </x:c>
      <x:c r="D555" s="15" t="str">
        <x:v>hdlBits</x:v>
      </x:c>
      <x:c r="E555" s="15" t="str">
        <x:v>Sequential logic</x:v>
      </x:c>
      <x:c r="F555" s="15" t="str">
        <x:v>Reset, control priority and cycle behavior</x:v>
      </x:c>
      <x:c r="G555" s="15" t="str">
        <x:v>clk, reset, OneHertz, c_enable</x:v>
      </x:c>
      <x:c r="H555" s="15" t="str">
        <x:v>For top_module, initialize through its reset/load path, then vary available controls before active edges. Cover each control combination, holds, boundary transitions and reset during activity. Clock/reset events in this source: inspect the instantiated modules for clock edge and reset polarity.</x:v>
      </x:c>
      <x:c r="I555" s="15" t="str">
        <x:v>Check OneHertz, c_enable only at its defined valid time. Compare a cycle-by-cycle reference state/sequence, including reset polarity and priority. Sample registered results after nonblocking updates; combinational Mealy outputs may require a pre-edge check. Source mapping: c_enable[0] = 1'b1; c_enable[1] = (lsb == 4'd9); c_enable[2] = (lsb == 4'd9) &amp;&amp; (middle == 4'd9); OneHertz = (msb == 4'd9) &amp;&amp; (middle == 4'd9) &amp;&amp; (lsb == 4'd9).</x:v>
      </x:c>
      <x:c r="J555" s="17"/>
      <x:c r="K555" s="24"/>
      <x:c r="L555" s="17"/>
      <x:c r="M555" s="17" t="str">
        <x:v>Compile this exercise separately because many files declare top_module. Use the original exercise statement as an independent oracle; helper stubs establish elaboration only.</x:v>
      </x:c>
      <x:c r="N555" s="15" t="str">
        <x:v>HDLBits Attempt 1/study/solutions/Day 09/144-exams__ece241_2014_q7b.sv</x:v>
      </x:c>
      <x:c r="O555" s="26" t="str">
        <x:v>https://github.com/kapiltrip/hdlBits/blob/fc3f2b993a1e202ef42a8e831c29f8f287f85e7a/HDLBits%20Attempt%201/study/solutions/Day%2009/144-exams__ece241_2014_q7b.sv</x:v>
      </x:c>
      <x:c r="P555" s="15" t="str">
        <x:f>IF(B555="Done",IF(OR(J555="",K555="",L555=""),"Add run evidence","Recorded"),IF(OR(B555="Blocked",B555="N/A"),IF(M555="","Add reason","Reason recorded"),""))</x:f>
      </x:c>
      <x:c r="Q555" s="15" t="str">
        <x:v>fc3f2b993a1e202ef42a8e831c29f8f287f85e7a</x:v>
      </x:c>
    </x:row>
    <x:row r="556" ht="96" customHeight="1">
      <x:c r="A556" s="4" t="str">
        <x:v>HDL-140</x:v>
      </x:c>
      <x:c r="B556" s="19" t="str">
        <x:v>Pending</x:v>
      </x:c>
      <x:c r="C556" s="4" t="str">
        <x:v>P1</x:v>
      </x:c>
      <x:c r="D556" s="4" t="str">
        <x:v>hdlBits</x:v>
      </x:c>
      <x:c r="E556" s="4" t="str">
        <x:v>Counter</x:v>
      </x:c>
      <x:c r="F556" s="4" t="str">
        <x:v>Reset, rollover and control priority</x:v>
      </x:c>
      <x:c r="G556" s="4" t="str">
        <x:v>clk, reset, ena, q</x:v>
      </x:c>
      <x:c r="H556" s="4" t="str">
        <x:v>Initialize top_module; test every enable/load/direction combination in clk, reset. Run past both wrap boundaries and reassert reset away from and on active clock edges.</x:v>
      </x:c>
      <x:c r="I556" s="4" t="str">
        <x:v>ena, q follows the stated binary/BCD/modulo range and reset value. Count accepted enabled edges only, verify hold when specified, and check load versus count priority. A source without enable free-runs. Source mapping: ena[1] = (digit0 == 4'd9); ena[2] = (digit0 == 4'd9) &amp;&amp; (digit1 == 4'd9); ena[3] = (digit0 == 4'd9) &amp;&amp; (digit1 == 4'd9) &amp;&amp; (digit2 == 4'd9); q = {digit3, digit2, digit1, digit0}.</x:v>
      </x:c>
      <x:c r="J556" s="17"/>
      <x:c r="K556" s="24"/>
      <x:c r="L556" s="17"/>
      <x:c r="M556" s="17" t="str">
        <x:v>Compile this exercise separately because many files declare top_module. Use the original exercise statement as an independent oracle; helper stubs establish elaboration only.</x:v>
      </x:c>
      <x:c r="N556" s="4" t="str">
        <x:v>HDLBits Attempt 1/study/solutions/Day 09/145-countbcd.sv</x:v>
      </x:c>
      <x:c r="O556" s="25" t="str">
        <x:v>https://github.com/kapiltrip/hdlBits/blob/fc3f2b993a1e202ef42a8e831c29f8f287f85e7a/HDLBits%20Attempt%201/study/solutions/Day%2009/145-countbcd.sv</x:v>
      </x:c>
      <x:c r="P556" s="4" t="str">
        <x:f>IF(B556="Done",IF(OR(J556="",K556="",L556=""),"Add run evidence","Recorded"),IF(OR(B556="Blocked",B556="N/A"),IF(M556="","Add reason","Reason recorded"),""))</x:f>
      </x:c>
      <x:c r="Q556" s="4" t="str">
        <x:v>fc3f2b993a1e202ef42a8e831c29f8f287f85e7a</x:v>
      </x:c>
    </x:row>
    <x:row r="557" ht="86" customHeight="1">
      <x:c r="A557" s="15" t="str">
        <x:v>HDL-141</x:v>
      </x:c>
      <x:c r="B557" s="19" t="str">
        <x:v>Pending</x:v>
      </x:c>
      <x:c r="C557" s="15" t="str">
        <x:v>P1</x:v>
      </x:c>
      <x:c r="D557" s="15" t="str">
        <x:v>hdlBits</x:v>
      </x:c>
      <x:c r="E557" s="15" t="str">
        <x:v>Sequential logic</x:v>
      </x:c>
      <x:c r="F557" s="15" t="str">
        <x:v>Reset, control priority and cycle behavior</x:v>
      </x:c>
      <x:c r="G557" s="15" t="str">
        <x:v>clk, reset, ena, pm, hh, mm, ss</x:v>
      </x:c>
      <x:c r="H557" s="15" t="str">
        <x:v>For top_module, initialize through its reset/load path, then vary ena before active edges. Cover each control combination, holds, boundary transitions and reset during activity. Clock/reset events in this source: posedge clk.</x:v>
      </x:c>
      <x:c r="I557" s="15" t="str">
        <x:v>Check pm, hh, mm, ss only at its defined valid time. Compare a cycle-by-cycle reference state/sequence, including reset polarity and priority. Sample registered results after nonblocking updates; combinational Mealy outputs may require a pre-edge check.</x:v>
      </x:c>
      <x:c r="J557" s="17"/>
      <x:c r="K557" s="24"/>
      <x:c r="L557" s="17"/>
      <x:c r="M557" s="17" t="str">
        <x:v>Compile this exercise separately because many files declare top_module. Use the original exercise statement as an independent oracle; helper stubs establish elaboration only.</x:v>
      </x:c>
      <x:c r="N557" s="15" t="str">
        <x:v>HDLBits Attempt 1/study/solutions/Day 09/146-count_clock.sv</x:v>
      </x:c>
      <x:c r="O557" s="26" t="str">
        <x:v>https://github.com/kapiltrip/hdlBits/blob/fc3f2b993a1e202ef42a8e831c29f8f287f85e7a/HDLBits%20Attempt%201/study/solutions/Day%2009/146-count_clock.sv</x:v>
      </x:c>
      <x:c r="P557" s="15" t="str">
        <x:f>IF(B557="Done",IF(OR(J557="",K557="",L557=""),"Add run evidence","Recorded"),IF(OR(B557="Blocked",B557="N/A"),IF(M557="","Add reason","Reason recorded"),""))</x:f>
      </x:c>
      <x:c r="Q557" s="15" t="str">
        <x:v>fc3f2b993a1e202ef42a8e831c29f8f287f85e7a</x:v>
      </x:c>
    </x:row>
    <x:row r="558" ht="86" customHeight="1">
      <x:c r="A558" s="4" t="str">
        <x:v>HDL-142</x:v>
      </x:c>
      <x:c r="B558" s="19" t="str">
        <x:v>Pending</x:v>
      </x:c>
      <x:c r="C558" s="4" t="str">
        <x:v>P1</x:v>
      </x:c>
      <x:c r="D558" s="4" t="str">
        <x:v>hdlBits</x:v>
      </x:c>
      <x:c r="E558" s="4" t="str">
        <x:v>Counter</x:v>
      </x:c>
      <x:c r="F558" s="4" t="str">
        <x:v>Reset, rollover and control priority</x:v>
      </x:c>
      <x:c r="G558" s="4" t="str">
        <x:v>clk, reset, q</x:v>
      </x:c>
      <x:c r="H558" s="4" t="str">
        <x:v>Initialize top_module; test every enable/load/direction combination in clk, reset. Run past both wrap boundaries and reassert reset away from and on active clock edges.</x:v>
      </x:c>
      <x:c r="I558" s="4" t="str">
        <x:v>q follows the stated binary/BCD/modulo range and reset value. Count accepted enabled edges only, verify hold when specified, and check load versus count priority. A source without enable free-runs. Source mapping: q = count.</x:v>
      </x:c>
      <x:c r="J558" s="17"/>
      <x:c r="K558" s="24"/>
      <x:c r="L558" s="17"/>
      <x:c r="M558" s="17" t="str">
        <x:v>Compile this exercise separately because many files declare top_module. Use the original exercise statement as an independent oracle; helper stubs establish elaboration only.</x:v>
      </x:c>
      <x:c r="N558" s="4" t="str">
        <x:v>HDLBits Attempt 1/study/solutions/Day 09/147-exams__review2015_count1k.sv</x:v>
      </x:c>
      <x:c r="O558" s="25" t="str">
        <x:v>https://github.com/kapiltrip/hdlBits/blob/fc3f2b993a1e202ef42a8e831c29f8f287f85e7a/HDLBits%20Attempt%201/study/solutions/Day%2009/147-exams__review2015_count1k.sv</x:v>
      </x:c>
      <x:c r="P558" s="4" t="str">
        <x:f>IF(B558="Done",IF(OR(J558="",K558="",L558=""),"Add run evidence","Recorded"),IF(OR(B558="Blocked",B558="N/A"),IF(M558="","Add reason","Reason recorded"),""))</x:f>
      </x:c>
      <x:c r="Q558" s="4" t="str">
        <x:v>fc3f2b993a1e202ef42a8e831c29f8f287f85e7a</x:v>
      </x:c>
    </x:row>
    <x:row r="559" ht="86" customHeight="1">
      <x:c r="A559" s="15" t="str">
        <x:v>HDL-143</x:v>
      </x:c>
      <x:c r="B559" s="19" t="str">
        <x:v>Pending</x:v>
      </x:c>
      <x:c r="C559" s="15" t="str">
        <x:v>P1</x:v>
      </x:c>
      <x:c r="D559" s="15" t="str">
        <x:v>hdlBits</x:v>
      </x:c>
      <x:c r="E559" s="15" t="str">
        <x:v>Shift/rotate</x:v>
      </x:c>
      <x:c r="F559" s="15" t="str">
        <x:v>Direction, load and boundary bits</x:v>
      </x:c>
      <x:c r="G559" s="15" t="str">
        <x:v>clk, shift_ena, count_ena, data, q</x:v>
      </x:c>
      <x:c r="H559" s="15" t="str">
        <x:v>Drive clk, shift_ena, count_ena, data with walking-one patterns at both ends; exercise every shift amount/direction and simultaneous load/enable controls.</x:v>
      </x:c>
      <x:c r="I559" s="15" t="str">
        <x:v>q preserves the defined bit order and delay. Check zero-fill, sign-fill or rotation separately as specified by this source; load/hold priority and bits shifted out must match the contract. Source mapping: q = shift_count.</x:v>
      </x:c>
      <x:c r="J559" s="17"/>
      <x:c r="K559" s="24"/>
      <x:c r="L559" s="17"/>
      <x:c r="M559" s="17" t="str">
        <x:v>Compile this exercise separately because many files declare top_module. Use the original exercise statement as an independent oracle; helper stubs establish elaboration only.</x:v>
      </x:c>
      <x:c r="N559" s="15" t="str">
        <x:v>HDLBits Attempt 1/study/solutions/Day 09/148-exams__review2015_shiftcount.sv</x:v>
      </x:c>
      <x:c r="O559" s="26" t="str">
        <x:v>https://github.com/kapiltrip/hdlBits/blob/fc3f2b993a1e202ef42a8e831c29f8f287f85e7a/HDLBits%20Attempt%201/study/solutions/Day%2009/148-exams__review2015_shiftcount.sv</x:v>
      </x:c>
      <x:c r="P559" s="15" t="str">
        <x:f>IF(B559="Done",IF(OR(J559="",K559="",L559=""),"Add run evidence","Recorded"),IF(OR(B559="Blocked",B559="N/A"),IF(M559="","Add reason","Reason recorded"),""))</x:f>
      </x:c>
      <x:c r="Q559" s="15" t="str">
        <x:v>fc3f2b993a1e202ef42a8e831c29f8f287f85e7a</x:v>
      </x:c>
    </x:row>
    <x:row r="560" ht="86" customHeight="1">
      <x:c r="A560" s="4" t="str">
        <x:v>HDL-144</x:v>
      </x:c>
      <x:c r="B560" s="19" t="str">
        <x:v>Pending</x:v>
      </x:c>
      <x:c r="C560" s="4" t="str">
        <x:v>P1</x:v>
      </x:c>
      <x:c r="D560" s="4" t="str">
        <x:v>hdlBits</x:v>
      </x:c>
      <x:c r="E560" s="4" t="str">
        <x:v>Sequential logic</x:v>
      </x:c>
      <x:c r="F560" s="4" t="str">
        <x:v>Reset, control priority and cycle behavior</x:v>
      </x:c>
      <x:c r="G560" s="4" t="str">
        <x:v>clk, reset, data, start_shifting</x:v>
      </x:c>
      <x:c r="H560" s="4" t="str">
        <x:v>For top_module, initialize through its reset/load path, then vary data before active edges. Cover each control combination, holds, boundary transitions and reset during activity. Clock/reset events in this source: posedge clk.</x:v>
      </x:c>
      <x:c r="I560" s="4" t="str">
        <x:v>Check start_shifting only at its defined valid time. Compare a cycle-by-cycle reference state/sequence, including reset polarity and priority. Sample registered results after nonblocking updates; combinational Mealy outputs may require a pre-edge check. Source mapping: start_shifting = (state == DONE).</x:v>
      </x:c>
      <x:c r="J560" s="17"/>
      <x:c r="K560" s="24"/>
      <x:c r="L560" s="17"/>
      <x:c r="M560" s="17" t="str">
        <x:v>Compile this exercise separately because many files declare top_module. Use the original exercise statement as an independent oracle; helper stubs establish elaboration only.</x:v>
      </x:c>
      <x:c r="N560" s="4" t="str">
        <x:v>HDLBits Attempt 1/study/solutions/Day 09/149-exams__review2015_fsmseq.sv</x:v>
      </x:c>
      <x:c r="O560" s="25" t="str">
        <x:v>https://github.com/kapiltrip/hdlBits/blob/fc3f2b993a1e202ef42a8e831c29f8f287f85e7a/HDLBits%20Attempt%201/study/solutions/Day%2009/149-exams__review2015_fsmseq.sv</x:v>
      </x:c>
      <x:c r="P560" s="4" t="str">
        <x:f>IF(B560="Done",IF(OR(J560="",K560="",L560=""),"Add run evidence","Recorded"),IF(OR(B560="Blocked",B560="N/A"),IF(M560="","Add reason","Reason recorded"),""))</x:f>
      </x:c>
      <x:c r="Q560" s="4" t="str">
        <x:v>fc3f2b993a1e202ef42a8e831c29f8f287f85e7a</x:v>
      </x:c>
    </x:row>
    <x:row r="561" ht="86" customHeight="1">
      <x:c r="A561" s="15" t="str">
        <x:v>HDL-145</x:v>
      </x:c>
      <x:c r="B561" s="19" t="str">
        <x:v>Pending</x:v>
      </x:c>
      <x:c r="C561" s="15" t="str">
        <x:v>P1</x:v>
      </x:c>
      <x:c r="D561" s="15" t="str">
        <x:v>hdlBits</x:v>
      </x:c>
      <x:c r="E561" s="15" t="str">
        <x:v>Shift/rotate</x:v>
      </x:c>
      <x:c r="F561" s="15" t="str">
        <x:v>Direction, load and boundary bits</x:v>
      </x:c>
      <x:c r="G561" s="15" t="str">
        <x:v>clk, reset, shift_ena</x:v>
      </x:c>
      <x:c r="H561" s="15" t="str">
        <x:v>Drive clk, reset with walking-one patterns at both ends; exercise every shift amount/direction and simultaneous load/enable controls.</x:v>
      </x:c>
      <x:c r="I561" s="15" t="str">
        <x:v>shift_ena preserves the defined bit order and delay. Check zero-fill, sign-fill or rotation separately as specified by this source; load/hold priority and bits shifted out must match the contract. Source mapping: shift_ena = (count &lt; 3'd4).</x:v>
      </x:c>
      <x:c r="J561" s="17"/>
      <x:c r="K561" s="24"/>
      <x:c r="L561" s="17"/>
      <x:c r="M561" s="17" t="str">
        <x:v>Compile this exercise separately because many files declare top_module. Use the original exercise statement as an independent oracle; helper stubs establish elaboration only.</x:v>
      </x:c>
      <x:c r="N561" s="15" t="str">
        <x:v>HDLBits Attempt 1/study/solutions/Day 09/150-exams__review2015_fsmshift.sv</x:v>
      </x:c>
      <x:c r="O561" s="26" t="str">
        <x:v>https://github.com/kapiltrip/hdlBits/blob/fc3f2b993a1e202ef42a8e831c29f8f287f85e7a/HDLBits%20Attempt%201/study/solutions/Day%2009/150-exams__review2015_fsmshift.sv</x:v>
      </x:c>
      <x:c r="P561" s="15" t="str">
        <x:f>IF(B561="Done",IF(OR(J561="",K561="",L561=""),"Add run evidence","Recorded"),IF(OR(B561="Blocked",B561="N/A"),IF(M561="","Add reason","Reason recorded"),""))</x:f>
      </x:c>
      <x:c r="Q561" s="15" t="str">
        <x:v>fc3f2b993a1e202ef42a8e831c29f8f287f85e7a</x:v>
      </x:c>
    </x:row>
    <x:row r="562" ht="86" customHeight="1">
      <x:c r="A562" s="4" t="str">
        <x:v>HDL-146</x:v>
      </x:c>
      <x:c r="B562" s="19" t="str">
        <x:v>Pending</x:v>
      </x:c>
      <x:c r="C562" s="4" t="str">
        <x:v>P1</x:v>
      </x:c>
      <x:c r="D562" s="4" t="str">
        <x:v>hdlBits</x:v>
      </x:c>
      <x:c r="E562" s="4" t="str">
        <x:v>Combinational logic</x:v>
      </x:c>
      <x:c r="F562" s="4" t="str">
        <x:v>Input combinations and output mapping</x:v>
      </x:c>
      <x:c r="G562" s="4" t="str">
        <x:v>one</x:v>
      </x:c>
      <x:c r="H562" s="4" t="str">
        <x:v>Drive the declared controls through binary combinations when small; for vectors use zero, all ones, alternating bits and walking one/zero. Toggle one input at a time and include rapid changes after a previous nonzero result.</x:v>
      </x:c>
      <x:c r="I562" s="4" t="str">
        <x:v>Check one against an independently written truth table. Combinational results must settle without a clock or stale retained values. Source mapping: one = 1'b1.</x:v>
      </x:c>
      <x:c r="J562" s="17"/>
      <x:c r="K562" s="24"/>
      <x:c r="L562" s="17"/>
      <x:c r="M562" s="17" t="str">
        <x:v>Compile this exercise separately because many files declare top_module. Use the original exercise statement as an independent oracle; helper stubs establish elaboration only.</x:v>
      </x:c>
      <x:c r="N562" s="4" t="str">
        <x:v>HDLBits Attempt 1/study/solutions/Day 09/151-step_one.sv</x:v>
      </x:c>
      <x:c r="O562" s="25" t="str">
        <x:v>https://github.com/kapiltrip/hdlBits/blob/fc3f2b993a1e202ef42a8e831c29f8f287f85e7a/HDLBits%20Attempt%201/study/solutions/Day%2009/151-step_one.sv</x:v>
      </x:c>
      <x:c r="P562" s="4" t="str">
        <x:f>IF(B562="Done",IF(OR(J562="",K562="",L562=""),"Add run evidence","Recorded"),IF(OR(B562="Blocked",B562="N/A"),IF(M562="","Add reason","Reason recorded"),""))</x:f>
      </x:c>
      <x:c r="Q562" s="4" t="str">
        <x:v>fc3f2b993a1e202ef42a8e831c29f8f287f85e7a</x:v>
      </x:c>
    </x:row>
    <x:row r="563" ht="86" customHeight="1">
      <x:c r="A563" s="15" t="str">
        <x:v>HDL-147</x:v>
      </x:c>
      <x:c r="B563" s="19" t="str">
        <x:v>Pending</x:v>
      </x:c>
      <x:c r="C563" s="15" t="str">
        <x:v>P1</x:v>
      </x:c>
      <x:c r="D563" s="15" t="str">
        <x:v>hdlBits</x:v>
      </x:c>
      <x:c r="E563" s="15" t="str">
        <x:v>Combinational logic</x:v>
      </x:c>
      <x:c r="F563" s="15" t="str">
        <x:v>Input combinations and output mapping</x:v>
      </x:c>
      <x:c r="G563" s="15" t="str">
        <x:v>zero</x:v>
      </x:c>
      <x:c r="H563" s="15" t="str">
        <x:v>Drive the declared controls through binary combinations when small; for vectors use zero, all ones, alternating bits and walking one/zero. Toggle one input at a time and include rapid changes after a previous nonzero result.</x:v>
      </x:c>
      <x:c r="I563" s="15" t="str">
        <x:v>Check zero against an independently written truth table. Combinational results must settle without a clock or stale retained values. Source mapping: zero = 1'b0.</x:v>
      </x:c>
      <x:c r="J563" s="17"/>
      <x:c r="K563" s="24"/>
      <x:c r="L563" s="17"/>
      <x:c r="M563" s="17" t="str">
        <x:v>Compile this exercise separately because many files declare top_module. Use the original exercise statement as an independent oracle; helper stubs establish elaboration only.</x:v>
      </x:c>
      <x:c r="N563" s="15" t="str">
        <x:v>HDLBits Attempt 1/study/solutions/Day 09/152-zero.sv</x:v>
      </x:c>
      <x:c r="O563" s="26" t="str">
        <x:v>https://github.com/kapiltrip/hdlBits/blob/fc3f2b993a1e202ef42a8e831c29f8f287f85e7a/HDLBits%20Attempt%201/study/solutions/Day%2009/152-zero.sv</x:v>
      </x:c>
      <x:c r="P563" s="15" t="str">
        <x:f>IF(B563="Done",IF(OR(J563="",K563="",L563=""),"Add run evidence","Recorded"),IF(OR(B563="Blocked",B563="N/A"),IF(M563="","Add reason","Reason recorded"),""))</x:f>
      </x:c>
      <x:c r="Q563" s="15" t="str">
        <x:v>fc3f2b993a1e202ef42a8e831c29f8f287f85e7a</x:v>
      </x:c>
    </x:row>
    <x:row r="564" ht="96" customHeight="1">
      <x:c r="A564" s="4" t="str">
        <x:v>HDL-148</x:v>
      </x:c>
      <x:c r="B564" s="19" t="str">
        <x:v>Pending</x:v>
      </x:c>
      <x:c r="C564" s="4" t="str">
        <x:v>P1</x:v>
      </x:c>
      <x:c r="D564" s="4" t="str">
        <x:v>hdlBits</x:v>
      </x:c>
      <x:c r="E564" s="4" t="str">
        <x:v>Sequential logic</x:v>
      </x:c>
      <x:c r="F564" s="4" t="str">
        <x:v>Reset, control priority and cycle behavior</x:v>
      </x:c>
      <x:c r="G564" s="4" t="str">
        <x:v>clk, reset, data, done_counting, ack, shift_ena, counting, done</x:v>
      </x:c>
      <x:c r="H564" s="4" t="str">
        <x:v>For top_module, initialize through its reset/load path, then vary data, done_counting, ack before active edges. Cover each control combination, holds, boundary transitions and reset during activity. Clock/reset events in this source: posedge clk.</x:v>
      </x:c>
      <x:c r="I564" s="4" t="str">
        <x:v>Check shift_ena, counting, done only at its defined valid time. Compare a cycle-by-cycle reference state/sequence, including reset polarity and priority. Sample registered results after nonblocking updates; combinational Mealy outputs may require a pre-edge check. Source mapping: shift_ena = (state == B0) || (state == B1) || (state == B2) || (state == B3); counting = (state == COUNT); done = (state == WAIT).</x:v>
      </x:c>
      <x:c r="J564" s="17"/>
      <x:c r="K564" s="24"/>
      <x:c r="L564" s="17"/>
      <x:c r="M564" s="17" t="str">
        <x:v>Compile this exercise separately because many files declare top_module. Use the original exercise statement as an independent oracle; helper stubs establish elaboration only.</x:v>
      </x:c>
      <x:c r="N564" s="4" t="str">
        <x:v>HDLBits Attempt 1/study/solutions/Day 09/153-exams__review2015_fsm.sv</x:v>
      </x:c>
      <x:c r="O564" s="25" t="str">
        <x:v>https://github.com/kapiltrip/hdlBits/blob/fc3f2b993a1e202ef42a8e831c29f8f287f85e7a/HDLBits%20Attempt%201/study/solutions/Day%2009/153-exams__review2015_fsm.sv</x:v>
      </x:c>
      <x:c r="P564" s="4" t="str">
        <x:f>IF(B564="Done",IF(OR(J564="",K564="",L564=""),"Add run evidence","Recorded"),IF(OR(B564="Blocked",B564="N/A"),IF(M564="","Add reason","Reason recorded"),""))</x:f>
      </x:c>
      <x:c r="Q564" s="4" t="str">
        <x:v>fc3f2b993a1e202ef42a8e831c29f8f287f85e7a</x:v>
      </x:c>
    </x:row>
    <x:row r="565" ht="86" customHeight="1">
      <x:c r="A565" s="15" t="str">
        <x:v>HDL-149</x:v>
      </x:c>
      <x:c r="B565" s="19" t="str">
        <x:v>Pending</x:v>
      </x:c>
      <x:c r="C565" s="15" t="str">
        <x:v>P1</x:v>
      </x:c>
      <x:c r="D565" s="15" t="str">
        <x:v>hdlBits</x:v>
      </x:c>
      <x:c r="E565" s="15" t="str">
        <x:v>Sequential logic</x:v>
      </x:c>
      <x:c r="F565" s="15" t="str">
        <x:v>Reset, control priority and cycle behavior</x:v>
      </x:c>
      <x:c r="G565" s="15" t="str">
        <x:v>clk, reset, data, ack, count, counting, done</x:v>
      </x:c>
      <x:c r="H565" s="15" t="str">
        <x:v>For top_module, initialize through its reset/load path, then vary data, ack before active edges. Cover each control combination, holds, boundary transitions and reset during activity. Clock/reset events in this source: posedge clk.</x:v>
      </x:c>
      <x:c r="I565" s="15" t="str">
        <x:v>Check count, counting, done only at its defined valid time. Compare a cycle-by-cycle reference state/sequence, including reset polarity and priority. Sample registered results after nonblocking updates; combinational Mealy outputs may require a pre-edge check. Source mapping: count = count_remaining; counting = (state == COUNT); done = (state == WAIT).</x:v>
      </x:c>
      <x:c r="J565" s="17"/>
      <x:c r="K565" s="24"/>
      <x:c r="L565" s="17"/>
      <x:c r="M565" s="17" t="str">
        <x:v>Compile this exercise separately because many files declare top_module. Use the original exercise statement as an independent oracle; helper stubs establish elaboration only.</x:v>
      </x:c>
      <x:c r="N565" s="15" t="str">
        <x:v>HDLBits Attempt 1/study/solutions/Day 09/154-exams__review2015_fancytimer.sv</x:v>
      </x:c>
      <x:c r="O565" s="26" t="str">
        <x:v>https://github.com/kapiltrip/hdlBits/blob/fc3f2b993a1e202ef42a8e831c29f8f287f85e7a/HDLBits%20Attempt%201/study/solutions/Day%2009/154-exams__review2015_fancytimer.sv</x:v>
      </x:c>
      <x:c r="P565" s="15" t="str">
        <x:f>IF(B565="Done",IF(OR(J565="",K565="",L565=""),"Add run evidence","Recorded"),IF(OR(B565="Blocked",B565="N/A"),IF(M565="","Add reason","Reason recorded"),""))</x:f>
      </x:c>
      <x:c r="Q565" s="15" t="str">
        <x:v>fc3f2b993a1e202ef42a8e831c29f8f287f85e7a</x:v>
      </x:c>
    </x:row>
    <x:row r="566" ht="86" customHeight="1">
      <x:c r="A566" s="4" t="str">
        <x:v>HDL-150</x:v>
      </x:c>
      <x:c r="B566" s="19" t="str">
        <x:v>Pending</x:v>
      </x:c>
      <x:c r="C566" s="4" t="str">
        <x:v>P1</x:v>
      </x:c>
      <x:c r="D566" s="4" t="str">
        <x:v>hdlBits</x:v>
      </x:c>
      <x:c r="E566" s="4" t="str">
        <x:v>Sequential logic</x:v>
      </x:c>
      <x:c r="F566" s="4" t="str">
        <x:v>Reset, control priority and cycle behavior</x:v>
      </x:c>
      <x:c r="G566" s="4" t="str">
        <x:v>clk, reset, s, w, z</x:v>
      </x:c>
      <x:c r="H566" s="4" t="str">
        <x:v>For top_module, initialize through its reset/load path, then vary s, w before active edges. Cover each control combination, holds, boundary transitions and reset during activity. Clock/reset events in this source: posedge clk.</x:v>
      </x:c>
      <x:c r="I566" s="4" t="str">
        <x:v>Check z only at its defined valid time. Compare a cycle-by-cycle reference state/sequence, including reset polarity and priority. Sample registered results after nonblocking updates; combinational Mealy outputs may require a pre-edge check.</x:v>
      </x:c>
      <x:c r="J566" s="17"/>
      <x:c r="K566" s="24"/>
      <x:c r="L566" s="17"/>
      <x:c r="M566" s="17" t="str">
        <x:v>Compile this exercise separately because many files declare top_module. Use the original exercise statement as an independent oracle; helper stubs establish elaboration only.</x:v>
      </x:c>
      <x:c r="N566" s="4" t="str">
        <x:v>HDLBits Attempt 1/study/solutions/Day 10/155-exams__2014_q3fsm.sv</x:v>
      </x:c>
      <x:c r="O566" s="25" t="str">
        <x:v>https://github.com/kapiltrip/hdlBits/blob/fc3f2b993a1e202ef42a8e831c29f8f287f85e7a/HDLBits%20Attempt%201/study/solutions/Day%2010/155-exams__2014_q3fsm.sv</x:v>
      </x:c>
      <x:c r="P566" s="4" t="str">
        <x:f>IF(B566="Done",IF(OR(J566="",K566="",L566=""),"Add run evidence","Recorded"),IF(OR(B566="Blocked",B566="N/A"),IF(M566="","Add reason","Reason recorded"),""))</x:f>
      </x:c>
      <x:c r="Q566" s="4" t="str">
        <x:v>fc3f2b993a1e202ef42a8e831c29f8f287f85e7a</x:v>
      </x:c>
    </x:row>
    <x:row r="567" ht="86" customHeight="1">
      <x:c r="A567" s="15" t="str">
        <x:v>HDL-151</x:v>
      </x:c>
      <x:c r="B567" s="19" t="str">
        <x:v>Pending</x:v>
      </x:c>
      <x:c r="C567" s="15" t="str">
        <x:v>P1</x:v>
      </x:c>
      <x:c r="D567" s="15" t="str">
        <x:v>hdlBits</x:v>
      </x:c>
      <x:c r="E567" s="15" t="str">
        <x:v>Sequential logic</x:v>
      </x:c>
      <x:c r="F567" s="15" t="str">
        <x:v>Reset, control priority and cycle behavior</x:v>
      </x:c>
      <x:c r="G567" s="15" t="str">
        <x:v>clk, reset, x, z</x:v>
      </x:c>
      <x:c r="H567" s="15" t="str">
        <x:v>For top_module, initialize through its reset/load path, then vary x before active edges. Cover each control combination, holds, boundary transitions and reset during activity. Clock/reset events in this source: posedge clk.</x:v>
      </x:c>
      <x:c r="I567" s="15" t="str">
        <x:v>Check z only at its defined valid time. Compare a cycle-by-cycle reference state/sequence, including reset polarity and priority. Sample registered results after nonblocking updates; combinational Mealy outputs may require a pre-edge check. Source mapping: z = (state == S3) || (state == S4).</x:v>
      </x:c>
      <x:c r="J567" s="17"/>
      <x:c r="K567" s="24"/>
      <x:c r="L567" s="17"/>
      <x:c r="M567" s="17" t="str">
        <x:v>Compile this exercise separately because many files declare top_module. Use the original exercise statement as an independent oracle; helper stubs establish elaboration only.</x:v>
      </x:c>
      <x:c r="N567" s="15" t="str">
        <x:v>HDLBits Attempt 1/study/solutions/Day 10/156-exams__2014_q3bfsm.sv</x:v>
      </x:c>
      <x:c r="O567" s="26" t="str">
        <x:v>https://github.com/kapiltrip/hdlBits/blob/fc3f2b993a1e202ef42a8e831c29f8f287f85e7a/HDLBits%20Attempt%201/study/solutions/Day%2010/156-exams__2014_q3bfsm.sv</x:v>
      </x:c>
      <x:c r="P567" s="15" t="str">
        <x:f>IF(B567="Done",IF(OR(J567="",K567="",L567=""),"Add run evidence","Recorded"),IF(OR(B567="Blocked",B567="N/A"),IF(M567="","Add reason","Reason recorded"),""))</x:f>
      </x:c>
      <x:c r="Q567" s="15" t="str">
        <x:v>fc3f2b993a1e202ef42a8e831c29f8f287f85e7a</x:v>
      </x:c>
    </x:row>
    <x:row r="568" ht="86" customHeight="1">
      <x:c r="A568" s="4" t="str">
        <x:v>HDL-152</x:v>
      </x:c>
      <x:c r="B568" s="19" t="str">
        <x:v>Pending</x:v>
      </x:c>
      <x:c r="C568" s="4" t="str">
        <x:v>P1</x:v>
      </x:c>
      <x:c r="D568" s="4" t="str">
        <x:v>hdlBits</x:v>
      </x:c>
      <x:c r="E568" s="4" t="str">
        <x:v>Sequential logic</x:v>
      </x:c>
      <x:c r="F568" s="4" t="str">
        <x:v>Reset, control priority and cycle behavior</x:v>
      </x:c>
      <x:c r="G568" s="4" t="str">
        <x:v>clk, y, x, Y0, z</x:v>
      </x:c>
      <x:c r="H568" s="4" t="str">
        <x:v>For top_module, initialize through its reset/load path, then vary y, x before active edges. Cover each control combination, holds, boundary transitions and reset during activity. Clock/reset events in this source: inspect the instantiated modules for clock edge and reset polarity.</x:v>
      </x:c>
      <x:c r="I568" s="4" t="str">
        <x:v>Check Y0, z only at its defined valid time. Compare a cycle-by-cycle reference state/sequence, including reset polarity and priority. Sample registered results after nonblocking updates; combinational Mealy outputs may require a pre-edge check. Source mapping: Y0 = (~x &amp; (y[0] | y[2])) | ( x &amp; ~y[0] &amp; ~y[2]); z = (y == 3'b011) || (y == 3'b100).</x:v>
      </x:c>
      <x:c r="J568" s="17"/>
      <x:c r="K568" s="24"/>
      <x:c r="L568" s="17"/>
      <x:c r="M568" s="17" t="str">
        <x:v>Compile this exercise separately because many files declare top_module. Use the original exercise statement as an independent oracle; helper stubs establish elaboration only.</x:v>
      </x:c>
      <x:c r="N568" s="4" t="str">
        <x:v>HDLBits Attempt 1/study/solutions/Day 10/157-exams__2014_q3c.sv</x:v>
      </x:c>
      <x:c r="O568" s="25" t="str">
        <x:v>https://github.com/kapiltrip/hdlBits/blob/fc3f2b993a1e202ef42a8e831c29f8f287f85e7a/HDLBits%20Attempt%201/study/solutions/Day%2010/157-exams__2014_q3c.sv</x:v>
      </x:c>
      <x:c r="P568" s="4" t="str">
        <x:f>IF(B568="Done",IF(OR(J568="",K568="",L568=""),"Add run evidence","Recorded"),IF(OR(B568="Blocked",B568="N/A"),IF(M568="","Add reason","Reason recorded"),""))</x:f>
      </x:c>
      <x:c r="Q568" s="4" t="str">
        <x:v>fc3f2b993a1e202ef42a8e831c29f8f287f85e7a</x:v>
      </x:c>
    </x:row>
    <x:row r="569" ht="86" customHeight="1">
      <x:c r="A569" s="15" t="str">
        <x:v>HDL-153</x:v>
      </x:c>
      <x:c r="B569" s="19" t="str">
        <x:v>Pending</x:v>
      </x:c>
      <x:c r="C569" s="15" t="str">
        <x:v>P1</x:v>
      </x:c>
      <x:c r="D569" s="15" t="str">
        <x:v>hdlBits</x:v>
      </x:c>
      <x:c r="E569" s="15" t="str">
        <x:v>Combinational logic</x:v>
      </x:c>
      <x:c r="F569" s="15" t="str">
        <x:v>Input combinations and output mapping</x:v>
      </x:c>
      <x:c r="G569" s="15" t="str">
        <x:v>y, w, Y2, Y4</x:v>
      </x:c>
      <x:c r="H569" s="15" t="str">
        <x:v>Drive y, w through binary combinations when small; for vectors use zero, all ones, alternating bits and walking one/zero. Toggle one input at a time and include rapid changes after a previous nonzero result.</x:v>
      </x:c>
      <x:c r="I569" s="15" t="str">
        <x:v>Check Y2, Y4 against an independently written truth table. Combinational results must settle without a clock or stale retained values. Source mapping: Y2 = y[1] &amp; ~w; Y4 = w &amp; (y[2] | y[3] | y[5] | y[6]).</x:v>
      </x:c>
      <x:c r="J569" s="17"/>
      <x:c r="K569" s="24"/>
      <x:c r="L569" s="17"/>
      <x:c r="M569" s="17" t="str">
        <x:v>Compile this exercise separately because many files declare top_module. Use the original exercise statement as an independent oracle; helper stubs establish elaboration only.</x:v>
      </x:c>
      <x:c r="N569" s="15" t="str">
        <x:v>HDLBits Attempt 1/study/solutions/Day 10/158-exams__m2014_q6c.sv</x:v>
      </x:c>
      <x:c r="O569" s="26" t="str">
        <x:v>https://github.com/kapiltrip/hdlBits/blob/fc3f2b993a1e202ef42a8e831c29f8f287f85e7a/HDLBits%20Attempt%201/study/solutions/Day%2010/158-exams__m2014_q6c.sv</x:v>
      </x:c>
      <x:c r="P569" s="15" t="str">
        <x:f>IF(B569="Done",IF(OR(J569="",K569="",L569=""),"Add run evidence","Recorded"),IF(OR(B569="Blocked",B569="N/A"),IF(M569="","Add reason","Reason recorded"),""))</x:f>
      </x:c>
      <x:c r="Q569" s="15" t="str">
        <x:v>fc3f2b993a1e202ef42a8e831c29f8f287f85e7a</x:v>
      </x:c>
    </x:row>
    <x:row r="570" ht="96" customHeight="1">
      <x:c r="A570" s="4" t="str">
        <x:v>HDL-154</x:v>
      </x:c>
      <x:c r="B570" s="19" t="str">
        <x:v>Pending</x:v>
      </x:c>
      <x:c r="C570" s="4" t="str">
        <x:v>P1</x:v>
      </x:c>
      <x:c r="D570" s="4" t="str">
        <x:v>hdlBits</x:v>
      </x:c>
      <x:c r="E570" s="4" t="str">
        <x:v>Lemmings FSM</x:v>
      </x:c>
      <x:c r="F570" s="4" t="str">
        <x:v>Direction, priority and fall boundaries</x:v>
      </x:c>
      <x:c r="G570" s="4" t="str">
        <x:v>clk, areset, bump_left, bump_right, ground, walk_left, walk_right, aaah</x:v>
      </x:c>
      <x:c r="H570" s="4" t="str">
        <x:v>Exercise clk, areset, bump_left, bump_right, ground, walk_left, walk_right, aaah: both bumpers, every direction, loss/restoration of ground, digging where present, and reset from every behavior. In lemmings4 use falls of 19,20,21 and more than 32 clocks, including after digging.</x:v>
      </x:c>
      <x:c r="I570" s="4" t="str">
        <x:v>Reset walks left. Only the bumper in the current direction turns walking. Falling overrides walking; digging has its specified priority. Check mutually exclusive outputs, landing direction and the fatal-fall threshold without counter wrap resurrecting the character. Source mapping: walk_left = (state == left); walk_right = (state == right); aaah = (state == fallRight) || (state == fallLeft).</x:v>
      </x:c>
      <x:c r="J570" s="17"/>
      <x:c r="K570" s="24"/>
      <x:c r="L570" s="17"/>
      <x:c r="M570" s="17" t="str">
        <x:v>Compile this exercise separately because many files declare top_module. Use the original exercise statement as an independent oracle; helper stubs establish elaboration only.</x:v>
      </x:c>
      <x:c r="N570" s="4" t="str">
        <x:v>HDLBits Attempt 1/study/solutions/Day 11/159-lemmings2.sv</x:v>
      </x:c>
      <x:c r="O570" s="25" t="str">
        <x:v>https://github.com/kapiltrip/hdlBits/blob/fc3f2b993a1e202ef42a8e831c29f8f287f85e7a/HDLBits%20Attempt%201/study/solutions/Day%2011/159-lemmings2.sv</x:v>
      </x:c>
      <x:c r="P570" s="4" t="str">
        <x:f>IF(B570="Done",IF(OR(J570="",K570="",L570=""),"Add run evidence","Recorded"),IF(OR(B570="Blocked",B570="N/A"),IF(M570="","Add reason","Reason recorded"),""))</x:f>
      </x:c>
      <x:c r="Q570" s="4" t="str">
        <x:v>fc3f2b993a1e202ef42a8e831c29f8f287f85e7a</x:v>
      </x:c>
    </x:row>
    <x:row r="571" ht="124" customHeight="1">
      <x:c r="A571" s="15" t="str">
        <x:v>HDL-155</x:v>
      </x:c>
      <x:c r="B571" s="19" t="str">
        <x:v>Pending</x:v>
      </x:c>
      <x:c r="C571" s="15" t="str">
        <x:v>P1</x:v>
      </x:c>
      <x:c r="D571" s="15" t="str">
        <x:v>hdlBits</x:v>
      </x:c>
      <x:c r="E571" s="15" t="str">
        <x:v>Lemmings FSM</x:v>
      </x:c>
      <x:c r="F571" s="15" t="str">
        <x:v>Direction, priority and fall boundaries</x:v>
      </x:c>
      <x:c r="G571" s="15" t="str">
        <x:v>clk, areset, bump_left, bump_right, ground, dig, walk_left, walk_right, aaah, digging</x:v>
      </x:c>
      <x:c r="H571" s="15" t="str">
        <x:v>Exercise clk, areset, bump_left, bump_right, ground, dig, walk_left, walk_right, aaah, digging: both bumpers, every direction, loss/restoration of ground, digging where present, and reset from every behavior. In lemmings4 use falls of 19,20,21 and more than 32 clocks, including after digging.</x:v>
      </x:c>
      <x:c r="I571" s="15" t="str">
        <x:v>Reset walks left. Only the bumper in the current direction turns walking. Falling overrides walking; digging has its specified priority. Check mutually exclusive outputs, landing direction and the fatal-fall threshold without counter wrap resurrecting the character. Source mapping: walk_left = (state == left); walk_right = (state == right); aaah = (state == digWorkFallLeft) || (state == digWorkFallRight) || (state == fallRight) || (state == fallLeft); digging = (state == digWorkFromLeft) || (state == digWorkFromRight).</x:v>
      </x:c>
      <x:c r="J571" s="17"/>
      <x:c r="K571" s="24"/>
      <x:c r="L571" s="17"/>
      <x:c r="M571" s="17" t="str">
        <x:v>Compile this exercise separately because many files declare top_module. Use the original exercise statement as an independent oracle; helper stubs establish elaboration only.</x:v>
      </x:c>
      <x:c r="N571" s="15" t="str">
        <x:v>HDLBits Attempt 1/study/solutions/Day 11/160-lemmings3.sv</x:v>
      </x:c>
      <x:c r="O571" s="26" t="str">
        <x:v>https://github.com/kapiltrip/hdlBits/blob/fc3f2b993a1e202ef42a8e831c29f8f287f85e7a/HDLBits%20Attempt%201/study/solutions/Day%2011/160-lemmings3.sv</x:v>
      </x:c>
      <x:c r="P571" s="15" t="str">
        <x:f>IF(B571="Done",IF(OR(J571="",K571="",L571=""),"Add run evidence","Recorded"),IF(OR(B571="Blocked",B571="N/A"),IF(M571="","Add reason","Reason recorded"),""))</x:f>
      </x:c>
      <x:c r="Q571" s="15" t="str">
        <x:v>fc3f2b993a1e202ef42a8e831c29f8f287f85e7a</x:v>
      </x:c>
    </x:row>
    <x:row r="572" ht="124" customHeight="1">
      <x:c r="A572" s="4" t="str">
        <x:v>HDL-156</x:v>
      </x:c>
      <x:c r="B572" s="19" t="str">
        <x:v>Pending</x:v>
      </x:c>
      <x:c r="C572" s="4" t="str">
        <x:v>P1</x:v>
      </x:c>
      <x:c r="D572" s="4" t="str">
        <x:v>hdlBits</x:v>
      </x:c>
      <x:c r="E572" s="4" t="str">
        <x:v>Lemmings FSM</x:v>
      </x:c>
      <x:c r="F572" s="4" t="str">
        <x:v>Direction, priority and fall boundaries</x:v>
      </x:c>
      <x:c r="G572" s="4" t="str">
        <x:v>clk, areset, bump_left, bump_right, ground, dig, walk_left, walk_right, aaah, digging</x:v>
      </x:c>
      <x:c r="H572" s="4" t="str">
        <x:v>Exercise clk, areset, bump_left, bump_right, ground, dig, walk_left, walk_right, aaah, digging: both bumpers, every direction, loss/restoration of ground, digging where present, and reset from every behavior. In lemmings4 use falls of 19,20,21 and more than 32 clocks, including after digging.</x:v>
      </x:c>
      <x:c r="I572" s="4" t="str">
        <x:v>Reset walks left. Only the bumper in the current direction turns walking. Falling overrides walking; digging has its specified priority. Check mutually exclusive outputs, landing direction and the fatal-fall threshold without counter wrap resurrecting the character. Source mapping: walk_left = (state == left); walk_right = (state == right); aaah = (state == digWorkFallLeft) || (state == digWorkFallRight) || (state == fallRight) || (state == fallLeft); digging = (state == digWorkFromLeft) || (state == digWorkFromRight).</x:v>
      </x:c>
      <x:c r="J572" s="17"/>
      <x:c r="K572" s="24"/>
      <x:c r="L572" s="17"/>
      <x:c r="M572" s="17" t="str">
        <x:v>Compile this exercise separately because many files declare top_module. Use the original exercise statement as an independent oracle; helper stubs establish elaboration only.</x:v>
      </x:c>
      <x:c r="N572" s="4" t="str">
        <x:v>HDLBits Attempt 1/study/solutions/Day 12/161-lemmings4.sv</x:v>
      </x:c>
      <x:c r="O572" s="25" t="str">
        <x:v>https://github.com/kapiltrip/hdlBits/blob/fc3f2b993a1e202ef42a8e831c29f8f287f85e7a/HDLBits%20Attempt%201/study/solutions/Day%2012/161-lemmings4.sv</x:v>
      </x:c>
      <x:c r="P572" s="4" t="str">
        <x:f>IF(B572="Done",IF(OR(J572="",K572="",L572=""),"Add run evidence","Recorded"),IF(OR(B572="Blocked",B572="N/A"),IF(M572="","Add reason","Reason recorded"),""))</x:f>
      </x:c>
      <x:c r="Q572" s="4" t="str">
        <x:v>fc3f2b993a1e202ef42a8e831c29f8f287f85e7a</x:v>
      </x:c>
    </x:row>
    <x:row r="573" ht="110" customHeight="1">
      <x:c r="A573" s="15" t="str">
        <x:v>HDL-157</x:v>
      </x:c>
      <x:c r="B573" s="19" t="str">
        <x:v>Pending</x:v>
      </x:c>
      <x:c r="C573" s="15" t="str">
        <x:v>P1</x:v>
      </x:c>
      <x:c r="D573" s="15" t="str">
        <x:v>hdlBits</x:v>
      </x:c>
      <x:c r="E573" s="15" t="str">
        <x:v>Combinational logic</x:v>
      </x:c>
      <x:c r="F573" s="15" t="str">
        <x:v>Input combinations and output mapping</x:v>
      </x:c>
      <x:c r="G573" s="15" t="str">
        <x:v>in, state, next_state, out1, out2</x:v>
      </x:c>
      <x:c r="H573" s="15" t="str">
        <x:v>Drive in, state through binary combinations when small; for vectors use zero, all ones, alternating bits and walking one/zero. Toggle one input at a time and include rapid changes after a previous nonzero result.</x:v>
      </x:c>
      <x:c r="I573" s="15" t="str">
        <x:v>Check next_state, out1, out2 against an independently written truth table. Combinational results must settle without a clock or stale retained values. Source mapping: next_state[0] = ~in &amp; (S0 | S1 | S2 | S3 | S4 | S7 | S8 | S9); next_state[1] = in &amp; (S0 | S8 | S9); next_state[2] = in &amp; S1; next_state[3] = in &amp; S2; next_state[4] = in &amp; S3; next_state[5] = in &amp; S4; next_state[6] = in &amp; S5; next_state[7] = in &amp; (S6 | S7); next_state[8] = ~in &amp; S5; next_state[9] = ~in &amp; S6; out1 = S8 | S9; out2 = S7 | S9.</x:v>
      </x:c>
      <x:c r="J573" s="17"/>
      <x:c r="K573" s="24"/>
      <x:c r="L573" s="17"/>
      <x:c r="M573" s="17" t="str">
        <x:v>Compile this exercise separately because many files declare top_module. Use the original exercise statement as an independent oracle; helper stubs establish elaboration only.</x:v>
      </x:c>
      <x:c r="N573" s="15" t="str">
        <x:v>HDLBits Attempt 1/study/solutions/Day 12/162-fsm_onehot.sv</x:v>
      </x:c>
      <x:c r="O573" s="26" t="str">
        <x:v>https://github.com/kapiltrip/hdlBits/blob/fc3f2b993a1e202ef42a8e831c29f8f287f85e7a/HDLBits%20Attempt%201/study/solutions/Day%2012/162-fsm_onehot.sv</x:v>
      </x:c>
      <x:c r="P573" s="15" t="str">
        <x:f>IF(B573="Done",IF(OR(J573="",K573="",L573=""),"Add run evidence","Recorded"),IF(OR(B573="Blocked",B573="N/A"),IF(M573="","Add reason","Reason recorded"),""))</x:f>
      </x:c>
      <x:c r="Q573" s="15" t="str">
        <x:v>fc3f2b993a1e202ef42a8e831c29f8f287f85e7a</x:v>
      </x:c>
    </x:row>
    <x:row r="574" ht="86" customHeight="1">
      <x:c r="A574" s="4" t="str">
        <x:v>HDL-158</x:v>
      </x:c>
      <x:c r="B574" s="19" t="str">
        <x:v>Pending</x:v>
      </x:c>
      <x:c r="C574" s="4" t="str">
        <x:v>P1</x:v>
      </x:c>
      <x:c r="D574" s="4" t="str">
        <x:v>hdlBits</x:v>
      </x:c>
      <x:c r="E574" s="4" t="str">
        <x:v>Serial receiver exercise</x:v>
      </x:c>
      <x:c r="F574" s="4" t="str">
        <x:v>Frames, byte order and recovery</x:v>
      </x:c>
      <x:c r="G574" s="4" t="str">
        <x:v>clk, in, reset, done</x:v>
      </x:c>
      <x:c r="H574" s="4" t="str">
        <x:v>Use clk, in, reset, done to send start 0, eight LSB-first data bits, and stop 1, then a bad stop and back-to-back frames. For the parity variant include good/bad odd parity.</x:v>
      </x:c>
      <x:c r="I574" s="4" t="str">
        <x:v>done is asserted only for a complete accepted frame; out_byte, where present, equals the eight data bits. Bad stop requires idle-high recovery. A parity mismatch must suppress done in the parity variant. Source mapping: done = (state == completed).</x:v>
      </x:c>
      <x:c r="J574" s="17"/>
      <x:c r="K574" s="24"/>
      <x:c r="L574" s="17"/>
      <x:c r="M574" s="17" t="str">
        <x:v>Compile this exercise separately because many files declare top_module. Use the original exercise statement as an independent oracle; helper stubs establish elaboration only.</x:v>
      </x:c>
      <x:c r="N574" s="4" t="str">
        <x:v>HDLBits Attempt 1/study/solutions/Day 12/163-fsm_serial.sv</x:v>
      </x:c>
      <x:c r="O574" s="25" t="str">
        <x:v>https://github.com/kapiltrip/hdlBits/blob/fc3f2b993a1e202ef42a8e831c29f8f287f85e7a/HDLBits%20Attempt%201/study/solutions/Day%2012/163-fsm_serial.sv</x:v>
      </x:c>
      <x:c r="P574" s="4" t="str">
        <x:f>IF(B574="Done",IF(OR(J574="",K574="",L574=""),"Add run evidence","Recorded"),IF(OR(B574="Blocked",B574="N/A"),IF(M574="","Add reason","Reason recorded"),""))</x:f>
      </x:c>
      <x:c r="Q574" s="4" t="str">
        <x:v>fc3f2b993a1e202ef42a8e831c29f8f287f85e7a</x:v>
      </x:c>
    </x:row>
    <x:row r="575" ht="86" customHeight="1">
      <x:c r="A575" s="15" t="str">
        <x:v>HDL-159</x:v>
      </x:c>
      <x:c r="B575" s="19" t="str">
        <x:v>Pending</x:v>
      </x:c>
      <x:c r="C575" s="15" t="str">
        <x:v>P1</x:v>
      </x:c>
      <x:c r="D575" s="15" t="str">
        <x:v>hdlBits</x:v>
      </x:c>
      <x:c r="E575" s="15" t="str">
        <x:v>Serial receiver exercise</x:v>
      </x:c>
      <x:c r="F575" s="15" t="str">
        <x:v>Frames, byte order and recovery</x:v>
      </x:c>
      <x:c r="G575" s="15" t="str">
        <x:v>clk, in, reset, out_byte, done</x:v>
      </x:c>
      <x:c r="H575" s="15" t="str">
        <x:v>Use clk, in, reset, out_byte, done to send start 0, eight LSB-first data bits, and stop 1, then a bad stop and back-to-back frames. For the parity variant include good/bad odd parity.</x:v>
      </x:c>
      <x:c r="I575" s="15" t="str">
        <x:v>done is asserted only for a complete accepted frame; out_byte, where present, equals the eight data bits. Bad stop requires idle-high recovery. A parity mismatch must suppress done in the parity variant. Source mapping: done = (state == completed); out_byte = latch.</x:v>
      </x:c>
      <x:c r="J575" s="17"/>
      <x:c r="K575" s="24"/>
      <x:c r="L575" s="17"/>
      <x:c r="M575" s="17" t="str">
        <x:v>Compile this exercise separately because many files declare top_module. Use the original exercise statement as an independent oracle; helper stubs establish elaboration only.</x:v>
      </x:c>
      <x:c r="N575" s="15" t="str">
        <x:v>HDLBits Attempt 1/study/solutions/Day 12/164-fsm_serialdata.sv</x:v>
      </x:c>
      <x:c r="O575" s="26" t="str">
        <x:v>https://github.com/kapiltrip/hdlBits/blob/fc3f2b993a1e202ef42a8e831c29f8f287f85e7a/HDLBits%20Attempt%201/study/solutions/Day%2012/164-fsm_serialdata.sv</x:v>
      </x:c>
      <x:c r="P575" s="15" t="str">
        <x:f>IF(B575="Done",IF(OR(J575="",K575="",L575=""),"Add run evidence","Recorded"),IF(OR(B575="Blocked",B575="N/A"),IF(M575="","Add reason","Reason recorded"),""))</x:f>
      </x:c>
      <x:c r="Q575" s="15" t="str">
        <x:v>fc3f2b993a1e202ef42a8e831c29f8f287f85e7a</x:v>
      </x:c>
    </x:row>
    <x:row r="576" ht="86" customHeight="1">
      <x:c r="A576" s="4" t="str">
        <x:v>HDL-160</x:v>
      </x:c>
      <x:c r="B576" s="19" t="str">
        <x:v>Pending</x:v>
      </x:c>
      <x:c r="C576" s="4" t="str">
        <x:v>P1</x:v>
      </x:c>
      <x:c r="D576" s="4" t="str">
        <x:v>hdlBits</x:v>
      </x:c>
      <x:c r="E576" s="4" t="str">
        <x:v>Serial receiver exercise</x:v>
      </x:c>
      <x:c r="F576" s="4" t="str">
        <x:v>Frames, byte order and recovery</x:v>
      </x:c>
      <x:c r="G576" s="4" t="str">
        <x:v>clk, in, reset, out_byte, done</x:v>
      </x:c>
      <x:c r="H576" s="4" t="str">
        <x:v>Use clk, in, reset, out_byte, done to send start 0, eight LSB-first data bits, and stop 1, then a bad stop and back-to-back frames. For the parity variant include good/bad odd parity.</x:v>
      </x:c>
      <x:c r="I576" s="4" t="str">
        <x:v>done is asserted only for a complete accepted frame; out_byte, where present, equals the eight data bits. Bad stop requires idle-high recovery. A parity mismatch must suppress done in the parity variant. Source mapping: done = (state == completed); out_byte = latch.</x:v>
      </x:c>
      <x:c r="J576" s="17"/>
      <x:c r="K576" s="24"/>
      <x:c r="L576" s="17"/>
      <x:c r="M576" s="17" t="str">
        <x:v>Compile this exercise separately because many files declare top_module. Use the original exercise statement as an independent oracle; helper stubs establish elaboration only.</x:v>
      </x:c>
      <x:c r="N576" s="4" t="str">
        <x:v>HDLBits Attempt 1/study/solutions/Day 13/165-fsm_serialdp.sv</x:v>
      </x:c>
      <x:c r="O576" s="25" t="str">
        <x:v>https://github.com/kapiltrip/hdlBits/blob/fc3f2b993a1e202ef42a8e831c29f8f287f85e7a/HDLBits%20Attempt%201/study/solutions/Day%2013/165-fsm_serialdp.sv</x:v>
      </x:c>
      <x:c r="P576" s="4" t="str">
        <x:f>IF(B576="Done",IF(OR(J576="",K576="",L576=""),"Add run evidence","Recorded"),IF(OR(B576="Blocked",B576="N/A"),IF(M576="","Add reason","Reason recorded"),""))</x:f>
      </x:c>
      <x:c r="Q576" s="4" t="str">
        <x:v>fc3f2b993a1e202ef42a8e831c29f8f287f85e7a</x:v>
      </x:c>
    </x:row>
    <x:row r="577" ht="86" customHeight="1">
      <x:c r="A577" s="15" t="str">
        <x:v>HDL-161</x:v>
      </x:c>
      <x:c r="B577" s="19" t="str">
        <x:v>Pending</x:v>
      </x:c>
      <x:c r="C577" s="15" t="str">
        <x:v>P1</x:v>
      </x:c>
      <x:c r="D577" s="15" t="str">
        <x:v>hdlBits</x:v>
      </x:c>
      <x:c r="E577" s="15" t="str">
        <x:v>Three-byte packet</x:v>
      </x:c>
      <x:c r="F577" s="15" t="str">
        <x:v>Header alignment and byte assembly</x:v>
      </x:c>
      <x:c r="G577" s="15" t="str">
        <x:v>clk, in, reset, done</x:v>
      </x:c>
      <x:c r="H577" s="15" t="str">
        <x:v>Drive clk, in, reset, done; send nonheader bytes with in[3]=0, then three-byte packets beginning with in[3]=1. Vary bit 3 in payload bytes and send packets back-to-back.</x:v>
      </x:c>
      <x:c r="I577" s="15" t="str">
        <x:v>done occurs once per accepted three-byte packet. The data variant assembles first byte at [23:16], second [15:8], third [7:0] and outputs zero outside done. Payload bit 3 does not restart a packet. Source mapping: done = (state == donee).</x:v>
      </x:c>
      <x:c r="J577" s="17"/>
      <x:c r="K577" s="24"/>
      <x:c r="L577" s="17"/>
      <x:c r="M577" s="17" t="str">
        <x:v>Compile this exercise separately because many files declare top_module. Use the original exercise statement as an independent oracle; helper stubs establish elaboration only.</x:v>
      </x:c>
      <x:c r="N577" s="15" t="str">
        <x:v>HDLBits Attempt 1/study/solutions/Day 13/166-fsm_ps2.sv</x:v>
      </x:c>
      <x:c r="O577" s="26" t="str">
        <x:v>https://github.com/kapiltrip/hdlBits/blob/fc3f2b993a1e202ef42a8e831c29f8f287f85e7a/HDLBits%20Attempt%201/study/solutions/Day%2013/166-fsm_ps2.sv</x:v>
      </x:c>
      <x:c r="P577" s="15" t="str">
        <x:f>IF(B577="Done",IF(OR(J577="",K577="",L577=""),"Add run evidence","Recorded"),IF(OR(B577="Blocked",B577="N/A"),IF(M577="","Add reason","Reason recorded"),""))</x:f>
      </x:c>
      <x:c r="Q577" s="15" t="str">
        <x:v>fc3f2b993a1e202ef42a8e831c29f8f287f85e7a</x:v>
      </x:c>
    </x:row>
    <x:row r="578" ht="86" customHeight="1">
      <x:c r="A578" s="4" t="str">
        <x:v>HDL-162</x:v>
      </x:c>
      <x:c r="B578" s="19" t="str">
        <x:v>Pending</x:v>
      </x:c>
      <x:c r="C578" s="4" t="str">
        <x:v>P1</x:v>
      </x:c>
      <x:c r="D578" s="4" t="str">
        <x:v>hdlBits</x:v>
      </x:c>
      <x:c r="E578" s="4" t="str">
        <x:v>Three-byte packet</x:v>
      </x:c>
      <x:c r="F578" s="4" t="str">
        <x:v>Header alignment and byte assembly</x:v>
      </x:c>
      <x:c r="G578" s="4" t="str">
        <x:v>clk, in, reset, out_bytes, done</x:v>
      </x:c>
      <x:c r="H578" s="4" t="str">
        <x:v>Drive clk, in, reset, out_bytes, done; send nonheader bytes with in[3]=0, then three-byte packets beginning with in[3]=1. Vary bit 3 in payload bytes and send packets back-to-back.</x:v>
      </x:c>
      <x:c r="I578" s="4" t="str">
        <x:v>done occurs once per accepted three-byte packet. The data variant assembles first byte at [23:16], second [15:8], third [7:0] and outputs zero outside done. Payload bit 3 does not restart a packet. Source mapping: done = (state == donee); out_bytes = done ? latching : 24'd0.</x:v>
      </x:c>
      <x:c r="J578" s="17"/>
      <x:c r="K578" s="24"/>
      <x:c r="L578" s="17"/>
      <x:c r="M578" s="17" t="str">
        <x:v>Compile this exercise separately because many files declare top_module. Use the original exercise statement as an independent oracle; helper stubs establish elaboration only.</x:v>
      </x:c>
      <x:c r="N578" s="4" t="str">
        <x:v>HDLBits Attempt 1/study/solutions/Day 13/167-fsm_ps2data.sv</x:v>
      </x:c>
      <x:c r="O578" s="25" t="str">
        <x:v>https://github.com/kapiltrip/hdlBits/blob/fc3f2b993a1e202ef42a8e831c29f8f287f85e7a/HDLBits%20Attempt%201/study/solutions/Day%2013/167-fsm_ps2data.sv</x:v>
      </x:c>
      <x:c r="P578" s="4" t="str">
        <x:f>IF(B578="Done",IF(OR(J578="",K578="",L578=""),"Add run evidence","Recorded"),IF(OR(B578="Blocked",B578="N/A"),IF(M578="","Add reason","Reason recorded"),""))</x:f>
      </x:c>
      <x:c r="Q578" s="4" t="str">
        <x:v>fc3f2b993a1e202ef42a8e831c29f8f287f85e7a</x:v>
      </x:c>
    </x:row>
    <x:row r="579" ht="86" customHeight="1">
      <x:c r="A579" s="15" t="str">
        <x:v>HDL-163</x:v>
      </x:c>
      <x:c r="B579" s="19" t="str">
        <x:v>Pending</x:v>
      </x:c>
      <x:c r="C579" s="15" t="str">
        <x:v>P1</x:v>
      </x:c>
      <x:c r="D579" s="15" t="str">
        <x:v>hdlBits</x:v>
      </x:c>
      <x:c r="E579" s="15" t="str">
        <x:v>Serial run-length detector</x:v>
      </x:c>
      <x:c r="F579" s="15" t="str">
        <x:v>Stuffed zero, flag and error boundaries</x:v>
      </x:c>
      <x:c r="G579" s="15" t="str">
        <x:v>clk, reset, in, disc, flag, err</x:v>
      </x:c>
      <x:c r="H579" s="15" t="str">
        <x:v>Using clk, reset, in, disc, flag, err, send runs of four, five, six, seven and eight ones followed by zero, separated by idle zeros and reset.</x:v>
      </x:c>
      <x:c r="I579" s="15" t="str">
        <x:v>A zero after five ones raises disc; a zero after six raises flag; seven consecutive ones enter err, which holds while ones continue. Check the documented Mealy/Moore timing independently for each variant. Source mapping: disc = (state == discc); flag = (state == flagg); err = (state == errr).</x:v>
      </x:c>
      <x:c r="J579" s="17"/>
      <x:c r="K579" s="24"/>
      <x:c r="L579" s="17"/>
      <x:c r="M579" s="17" t="str">
        <x:v>Compile this exercise separately because many files declare top_module. Use the original exercise statement as an independent oracle; helper stubs establish elaboration only.</x:v>
      </x:c>
      <x:c r="N579" s="15" t="str">
        <x:v>HDLBits Attempt 1/study/solutions/Day 13/168-fsm_hdlc.sv</x:v>
      </x:c>
      <x:c r="O579" s="26" t="str">
        <x:v>https://github.com/kapiltrip/hdlBits/blob/fc3f2b993a1e202ef42a8e831c29f8f287f85e7a/HDLBits%20Attempt%201/study/solutions/Day%2013/168-fsm_hdlc.sv</x:v>
      </x:c>
      <x:c r="P579" s="15" t="str">
        <x:f>IF(B579="Done",IF(OR(J579="",K579="",L579=""),"Add run evidence","Recorded"),IF(OR(B579="Blocked",B579="N/A"),IF(M579="","Add reason","Reason recorded"),""))</x:f>
      </x:c>
      <x:c r="Q579" s="15" t="str">
        <x:v>fc3f2b993a1e202ef42a8e831c29f8f287f85e7a</x:v>
      </x:c>
    </x:row>
    <x:row r="580" ht="86" customHeight="1">
      <x:c r="A580" s="4" t="str">
        <x:v>HDL-164</x:v>
      </x:c>
      <x:c r="B580" s="19" t="str">
        <x:v>Pending</x:v>
      </x:c>
      <x:c r="C580" s="4" t="str">
        <x:v>P1</x:v>
      </x:c>
      <x:c r="D580" s="4" t="str">
        <x:v>hdlBits</x:v>
      </x:c>
      <x:c r="E580" s="4" t="str">
        <x:v>Sequential logic</x:v>
      </x:c>
      <x:c r="F580" s="4" t="str">
        <x:v>Reset, control priority and cycle behavior</x:v>
      </x:c>
      <x:c r="G580" s="4" t="str">
        <x:v>clk, areset, x, z</x:v>
      </x:c>
      <x:c r="H580" s="4" t="str">
        <x:v>For top_module, initialize through its reset/load path, then vary x before active edges. Cover each control combination, holds, boundary transitions and reset during activity. Clock/reset events in this source: posedge clk, posedge areset.</x:v>
      </x:c>
      <x:c r="I580" s="4" t="str">
        <x:v>Check z only at its defined valid time. Compare a cycle-by-cycle reference state/sequence, including reset polarity and priority. Sample registered results after nonblocking updates; combinational Mealy outputs may require a pre-edge check. Source mapping: z = (state == s1).</x:v>
      </x:c>
      <x:c r="J580" s="17"/>
      <x:c r="K580" s="24"/>
      <x:c r="L580" s="17"/>
      <x:c r="M580" s="17" t="str">
        <x:v>Compile this exercise separately because many files declare top_module. Use the original exercise statement as an independent oracle; helper stubs establish elaboration only.</x:v>
      </x:c>
      <x:c r="N580" s="4" t="str">
        <x:v>HDLBits Attempt 1/study/solutions/Day 13/169-exams__ece241_2014_q5a.sv</x:v>
      </x:c>
      <x:c r="O580" s="25" t="str">
        <x:v>https://github.com/kapiltrip/hdlBits/blob/fc3f2b993a1e202ef42a8e831c29f8f287f85e7a/HDLBits%20Attempt%201/study/solutions/Day%2013/169-exams__ece241_2014_q5a.sv</x:v>
      </x:c>
      <x:c r="P580" s="4" t="str">
        <x:f>IF(B580="Done",IF(OR(J580="",K580="",L580=""),"Add run evidence","Recorded"),IF(OR(B580="Blocked",B580="N/A"),IF(M580="","Add reason","Reason recorded"),""))</x:f>
      </x:c>
      <x:c r="Q580" s="4" t="str">
        <x:v>fc3f2b993a1e202ef42a8e831c29f8f287f85e7a</x:v>
      </x:c>
    </x:row>
    <x:row r="581" ht="86" customHeight="1">
      <x:c r="A581" s="15" t="str">
        <x:v>HDL-165</x:v>
      </x:c>
      <x:c r="B581" s="19" t="str">
        <x:v>Pending</x:v>
      </x:c>
      <x:c r="C581" s="15" t="str">
        <x:v>P1</x:v>
      </x:c>
      <x:c r="D581" s="15" t="str">
        <x:v>hdlBits</x:v>
      </x:c>
      <x:c r="E581" s="15" t="str">
        <x:v>Sequential logic</x:v>
      </x:c>
      <x:c r="F581" s="15" t="str">
        <x:v>Reset, control priority and cycle behavior</x:v>
      </x:c>
      <x:c r="G581" s="15" t="str">
        <x:v>clk, areset, x, z</x:v>
      </x:c>
      <x:c r="H581" s="15" t="str">
        <x:v>For top_module, initialize through its reset/load path, then vary x before active edges. Cover each control combination, holds, boundary transitions and reset during activity. Clock/reset events in this source: posedge clk, posedge areset.</x:v>
      </x:c>
      <x:c r="I581" s="15" t="str">
        <x:v>Check z only at its defined valid time. Compare a cycle-by-cycle reference state/sequence, including reset polarity and priority. Sample registered results after nonblocking updates; combinational Mealy outputs may require a pre-edge check. Source mapping: z = zr.</x:v>
      </x:c>
      <x:c r="J581" s="17"/>
      <x:c r="K581" s="24"/>
      <x:c r="L581" s="17"/>
      <x:c r="M581" s="17" t="str">
        <x:v>Compile this exercise separately because many files declare top_module. Use the original exercise statement as an independent oracle; helper stubs establish elaboration only.</x:v>
      </x:c>
      <x:c r="N581" s="15" t="str">
        <x:v>HDLBits Attempt 1/study/solutions/Day 13/170-exams__ece241_2014_q5b.sv</x:v>
      </x:c>
      <x:c r="O581" s="26" t="str">
        <x:v>https://github.com/kapiltrip/hdlBits/blob/fc3f2b993a1e202ef42a8e831c29f8f287f85e7a/HDLBits%20Attempt%201/study/solutions/Day%2013/170-exams__ece241_2014_q5b.sv</x:v>
      </x:c>
      <x:c r="P581" s="15" t="str">
        <x:f>IF(B581="Done",IF(OR(J581="",K581="",L581=""),"Add run evidence","Recorded"),IF(OR(B581="Blocked",B581="N/A"),IF(M581="","Add reason","Reason recorded"),""))</x:f>
      </x:c>
      <x:c r="Q581" s="15" t="str">
        <x:v>fc3f2b993a1e202ef42a8e831c29f8f287f85e7a</x:v>
      </x:c>
    </x:row>
    <x:row r="582" ht="86" customHeight="1">
      <x:c r="A582" s="4" t="str">
        <x:v>HDL-166</x:v>
      </x:c>
      <x:c r="B582" s="19" t="str">
        <x:v>Pending</x:v>
      </x:c>
      <x:c r="C582" s="4" t="str">
        <x:v>P1</x:v>
      </x:c>
      <x:c r="D582" s="4" t="str">
        <x:v>hdlBits</x:v>
      </x:c>
      <x:c r="E582" s="4" t="str">
        <x:v>Combinational logic</x:v>
      </x:c>
      <x:c r="F582" s="4" t="str">
        <x:v>Input combinations and output mapping</x:v>
      </x:c>
      <x:c r="G582" s="4" t="str">
        <x:v>y, w, Y2</x:v>
      </x:c>
      <x:c r="H582" s="4" t="str">
        <x:v>Drive y, w through binary combinations when small; for vectors use zero, all ones, alternating bits and walking one/zero. Toggle one input at a time and include rapid changes after a previous nonzero result.</x:v>
      </x:c>
      <x:c r="I582" s="4" t="str">
        <x:v>Check Y2 against an independently written truth table. Combinational results must settle without a clock or stale retained values. Source mapping: Y2 = ((~y[2] &amp; y[1]) | (w &amp; y[3]) | (w &amp; y[2] &amp; ~y[1])).</x:v>
      </x:c>
      <x:c r="J582" s="17"/>
      <x:c r="K582" s="24"/>
      <x:c r="L582" s="17"/>
      <x:c r="M582" s="17" t="str">
        <x:v>Compile this exercise separately because many files declare top_module. Use the original exercise statement as an independent oracle; helper stubs establish elaboration only.</x:v>
      </x:c>
      <x:c r="N582" s="4" t="str">
        <x:v>HDLBits Attempt 1/study/solutions/Day 13/171-exams__m2014_q6b.sv</x:v>
      </x:c>
      <x:c r="O582" s="25" t="str">
        <x:v>https://github.com/kapiltrip/hdlBits/blob/fc3f2b993a1e202ef42a8e831c29f8f287f85e7a/HDLBits%20Attempt%201/study/solutions/Day%2013/171-exams__m2014_q6b.sv</x:v>
      </x:c>
      <x:c r="P582" s="4" t="str">
        <x:f>IF(B582="Done",IF(OR(J582="",K582="",L582=""),"Add run evidence","Recorded"),IF(OR(B582="Blocked",B582="N/A"),IF(M582="","Add reason","Reason recorded"),""))</x:f>
      </x:c>
      <x:c r="Q582" s="4" t="str">
        <x:v>fc3f2b993a1e202ef42a8e831c29f8f287f85e7a</x:v>
      </x:c>
    </x:row>
    <x:row r="583" ht="86" customHeight="1">
      <x:c r="A583" s="15" t="str">
        <x:v>HDL-167</x:v>
      </x:c>
      <x:c r="B583" s="19" t="str">
        <x:v>Pending</x:v>
      </x:c>
      <x:c r="C583" s="15" t="str">
        <x:v>P1</x:v>
      </x:c>
      <x:c r="D583" s="15" t="str">
        <x:v>hdlBits</x:v>
      </x:c>
      <x:c r="E583" s="15" t="str">
        <x:v>Sequential logic</x:v>
      </x:c>
      <x:c r="F583" s="15" t="str">
        <x:v>Reset, control priority and cycle behavior</x:v>
      </x:c>
      <x:c r="G583" s="15" t="str">
        <x:v>clk, reset, w, z</x:v>
      </x:c>
      <x:c r="H583" s="15" t="str">
        <x:v>For top_module, initialize through its reset/load path, then vary w before active edges. Cover each control combination, holds, boundary transitions and reset during activity. Clock/reset events in this source: posedge clk.</x:v>
      </x:c>
      <x:c r="I583" s="15" t="str">
        <x:v>Check z only at its defined valid time. Compare a cycle-by-cycle reference state/sequence, including reset polarity and priority. Sample registered results after nonblocking updates; combinational Mealy outputs may require a pre-edge check. Source mapping: z = (state == E) || (state == F).</x:v>
      </x:c>
      <x:c r="J583" s="17"/>
      <x:c r="K583" s="24"/>
      <x:c r="L583" s="17"/>
      <x:c r="M583" s="17" t="str">
        <x:v>Compile this exercise separately because many files declare top_module. Use the original exercise statement as an independent oracle; helper stubs establish elaboration only.</x:v>
      </x:c>
      <x:c r="N583" s="15" t="str">
        <x:v>HDLBits Attempt 1/study/solutions/Day 13/172-exams__m2014_q6.sv</x:v>
      </x:c>
      <x:c r="O583" s="26" t="str">
        <x:v>https://github.com/kapiltrip/hdlBits/blob/fc3f2b993a1e202ef42a8e831c29f8f287f85e7a/HDLBits%20Attempt%201/study/solutions/Day%2013/172-exams__m2014_q6.sv</x:v>
      </x:c>
      <x:c r="P583" s="15" t="str">
        <x:f>IF(B583="Done",IF(OR(J583="",K583="",L583=""),"Add run evidence","Recorded"),IF(OR(B583="Blocked",B583="N/A"),IF(M583="","Add reason","Reason recorded"),""))</x:f>
      </x:c>
      <x:c r="Q583" s="15" t="str">
        <x:v>fc3f2b993a1e202ef42a8e831c29f8f287f85e7a</x:v>
      </x:c>
    </x:row>
    <x:row r="584" ht="86" customHeight="1">
      <x:c r="A584" s="4" t="str">
        <x:v>HDL-168</x:v>
      </x:c>
      <x:c r="B584" s="19" t="str">
        <x:v>Pending</x:v>
      </x:c>
      <x:c r="C584" s="4" t="str">
        <x:v>P1</x:v>
      </x:c>
      <x:c r="D584" s="4" t="str">
        <x:v>hdlBits</x:v>
      </x:c>
      <x:c r="E584" s="4" t="str">
        <x:v>Sequential logic</x:v>
      </x:c>
      <x:c r="F584" s="4" t="str">
        <x:v>Reset, control priority and cycle behavior</x:v>
      </x:c>
      <x:c r="G584" s="4" t="str">
        <x:v>clk, reset, w, z</x:v>
      </x:c>
      <x:c r="H584" s="4" t="str">
        <x:v>For top_module, initialize through its reset/load path, then vary w before active edges. Cover each control combination, holds, boundary transitions and reset during activity. Clock/reset events in this source: posedge clk.</x:v>
      </x:c>
      <x:c r="I584" s="4" t="str">
        <x:v>Check z only at its defined valid time. Compare a cycle-by-cycle reference state/sequence, including reset polarity and priority. Sample registered results after nonblocking updates; combinational Mealy outputs may require a pre-edge check. Source mapping: z = (state == E) || (state == F).</x:v>
      </x:c>
      <x:c r="J584" s="17"/>
      <x:c r="K584" s="24"/>
      <x:c r="L584" s="17"/>
      <x:c r="M584" s="17" t="str">
        <x:v>Compile this exercise separately because many files declare top_module. Use the original exercise statement as an independent oracle; helper stubs establish elaboration only.</x:v>
      </x:c>
      <x:c r="N584" s="4" t="str">
        <x:v>HDLBits Attempt 1/study/solutions/Day 13/173-exams__2012_q2fsm.sv</x:v>
      </x:c>
      <x:c r="O584" s="25" t="str">
        <x:v>https://github.com/kapiltrip/hdlBits/blob/fc3f2b993a1e202ef42a8e831c29f8f287f85e7a/HDLBits%20Attempt%201/study/solutions/Day%2013/173-exams__2012_q2fsm.sv</x:v>
      </x:c>
      <x:c r="P584" s="4" t="str">
        <x:f>IF(B584="Done",IF(OR(J584="",K584="",L584=""),"Add run evidence","Recorded"),IF(OR(B584="Blocked",B584="N/A"),IF(M584="","Add reason","Reason recorded"),""))</x:f>
      </x:c>
      <x:c r="Q584" s="4" t="str">
        <x:v>fc3f2b993a1e202ef42a8e831c29f8f287f85e7a</x:v>
      </x:c>
    </x:row>
    <x:row r="585" ht="86" customHeight="1">
      <x:c r="A585" s="15" t="str">
        <x:v>HDL-169</x:v>
      </x:c>
      <x:c r="B585" s="19" t="str">
        <x:v>Pending</x:v>
      </x:c>
      <x:c r="C585" s="15" t="str">
        <x:v>P1</x:v>
      </x:c>
      <x:c r="D585" s="15" t="str">
        <x:v>hdlBits</x:v>
      </x:c>
      <x:c r="E585" s="15" t="str">
        <x:v>Combinational logic</x:v>
      </x:c>
      <x:c r="F585" s="15" t="str">
        <x:v>Input combinations and output mapping</x:v>
      </x:c>
      <x:c r="G585" s="15" t="str">
        <x:v>y, w, Y1, Y3</x:v>
      </x:c>
      <x:c r="H585" s="15" t="str">
        <x:v>Drive y, w through binary combinations when small; for vectors use zero, all ones, alternating bits and walking one/zero. Toggle one input at a time and include rapid changes after a previous nonzero result.</x:v>
      </x:c>
      <x:c r="I585" s="15" t="str">
        <x:v>Check Y1, Y3 against an independently written truth table. Combinational results must settle without a clock or stale retained values. Source mapping: Y3 = ~w &amp; (y[1] | y[2] | y[4] | y[5]); Y1 = w &amp; y[0].</x:v>
      </x:c>
      <x:c r="J585" s="17"/>
      <x:c r="K585" s="24"/>
      <x:c r="L585" s="17"/>
      <x:c r="M585" s="17" t="str">
        <x:v>Compile this exercise separately because many files declare top_module. Use the original exercise statement as an independent oracle; helper stubs establish elaboration only.</x:v>
      </x:c>
      <x:c r="N585" s="15" t="str">
        <x:v>HDLBits Attempt 1/study/solutions/Day 13/174-exams__2012_q2b.sv</x:v>
      </x:c>
      <x:c r="O585" s="26" t="str">
        <x:v>https://github.com/kapiltrip/hdlBits/blob/fc3f2b993a1e202ef42a8e831c29f8f287f85e7a/HDLBits%20Attempt%201/study/solutions/Day%2013/174-exams__2012_q2b.sv</x:v>
      </x:c>
      <x:c r="P585" s="15" t="str">
        <x:f>IF(B585="Done",IF(OR(J585="",K585="",L585=""),"Add run evidence","Recorded"),IF(OR(B585="Blocked",B585="N/A"),IF(M585="","Add reason","Reason recorded"),""))</x:f>
      </x:c>
      <x:c r="Q585" s="15" t="str">
        <x:v>fc3f2b993a1e202ef42a8e831c29f8f287f85e7a</x:v>
      </x:c>
    </x:row>
    <x:row r="586" ht="86" customHeight="1">
      <x:c r="A586" s="4" t="str">
        <x:v>HDL-170</x:v>
      </x:c>
      <x:c r="B586" s="19" t="str">
        <x:v>Pending</x:v>
      </x:c>
      <x:c r="C586" s="4" t="str">
        <x:v>P1</x:v>
      </x:c>
      <x:c r="D586" s="4" t="str">
        <x:v>hdlBits</x:v>
      </x:c>
      <x:c r="E586" s="4" t="str">
        <x:v>Cellular automaton</x:v>
      </x:c>
      <x:c r="F586" s="4" t="str">
        <x:v>Load, edge cells and simultaneous update</x:v>
      </x:c>
      <x:c r="G586" s="4" t="str">
        <x:v>clk, load, data, q</x:v>
      </x:c>
      <x:c r="H586" s="4" t="str">
        <x:v>Load data with a single central one, ones at both ends and alternating bits; step clk and check every q bit against a previous-array reference.</x:v>
      </x:c>
      <x:c r="I586" s="4" t="str">
        <x:v>Rule 90 uses XOR of old left/right neighbors; outside the 512-cell ends is zero. load takes priority.</x:v>
      </x:c>
      <x:c r="J586" s="17"/>
      <x:c r="K586" s="24"/>
      <x:c r="L586" s="17"/>
      <x:c r="M586" s="17" t="str">
        <x:v>Compile this exercise separately because many files declare top_module. Use the original exercise statement as an independent oracle; helper stubs establish elaboration only.</x:v>
      </x:c>
      <x:c r="N586" s="4" t="str">
        <x:v>HDLBits Attempt 1/study/solutions/Day 14/175-rule90.sv</x:v>
      </x:c>
      <x:c r="O586" s="25" t="str">
        <x:v>https://github.com/kapiltrip/hdlBits/blob/fc3f2b993a1e202ef42a8e831c29f8f287f85e7a/HDLBits%20Attempt%201/study/solutions/Day%2014/175-rule90.sv</x:v>
      </x:c>
      <x:c r="P586" s="4" t="str">
        <x:f>IF(B586="Done",IF(OR(J586="",K586="",L586=""),"Add run evidence","Recorded"),IF(OR(B586="Blocked",B586="N/A"),IF(M586="","Add reason","Reason recorded"),""))</x:f>
      </x:c>
      <x:c r="Q586" s="4" t="str">
        <x:v>fc3f2b993a1e202ef42a8e831c29f8f287f85e7a</x:v>
      </x:c>
    </x:row>
    <x:row r="587" ht="86" customHeight="1">
      <x:c r="A587" s="15" t="str">
        <x:v>HDL-171</x:v>
      </x:c>
      <x:c r="B587" s="19" t="str">
        <x:v>Pending</x:v>
      </x:c>
      <x:c r="C587" s="15" t="str">
        <x:v>P1</x:v>
      </x:c>
      <x:c r="D587" s="15" t="str">
        <x:v>hdlBits</x:v>
      </x:c>
      <x:c r="E587" s="15" t="str">
        <x:v>Cellular automaton</x:v>
      </x:c>
      <x:c r="F587" s="15" t="str">
        <x:v>Load, edge cells and simultaneous update</x:v>
      </x:c>
      <x:c r="G587" s="15" t="str">
        <x:v>clk, load, data, q</x:v>
      </x:c>
      <x:c r="H587" s="15" t="str">
        <x:v>Load data with a single central one, ones at both ends and alternating bits; step clk and check every q bit against a previous-array reference.</x:v>
      </x:c>
      <x:c r="I587" s="15" t="str">
        <x:v>Rule 110 output for neighborhoods 111..000 is 0,1,1,0,1,1,1,0; outside neighbors are zero. All cells use the old array and load takes priority.</x:v>
      </x:c>
      <x:c r="J587" s="17"/>
      <x:c r="K587" s="24"/>
      <x:c r="L587" s="17"/>
      <x:c r="M587" s="17" t="str">
        <x:v>Compile this exercise separately because many files declare top_module. Use the original exercise statement as an independent oracle; helper stubs establish elaboration only.</x:v>
      </x:c>
      <x:c r="N587" s="15" t="str">
        <x:v>HDLBits Attempt 1/study/solutions/Day 14/176-rule110.sv</x:v>
      </x:c>
      <x:c r="O587" s="26" t="str">
        <x:v>https://github.com/kapiltrip/hdlBits/blob/fc3f2b993a1e202ef42a8e831c29f8f287f85e7a/HDLBits%20Attempt%201/study/solutions/Day%2014/176-rule110.sv</x:v>
      </x:c>
      <x:c r="P587" s="15" t="str">
        <x:f>IF(B587="Done",IF(OR(J587="",K587="",L587=""),"Add run evidence","Recorded"),IF(OR(B587="Blocked",B587="N/A"),IF(M587="","Add reason","Reason recorded"),""))</x:f>
      </x:c>
      <x:c r="Q587" s="15" t="str">
        <x:v>fc3f2b993a1e202ef42a8e831c29f8f287f85e7a</x:v>
      </x:c>
    </x:row>
    <x:row r="588" ht="86" customHeight="1">
      <x:c r="A588" s="4" t="str">
        <x:v>HDL-172</x:v>
      </x:c>
      <x:c r="B588" s="19" t="str">
        <x:v>Pending</x:v>
      </x:c>
      <x:c r="C588" s="4" t="str">
        <x:v>P1</x:v>
      </x:c>
      <x:c r="D588" s="4" t="str">
        <x:v>hdlBits</x:v>
      </x:c>
      <x:c r="E588" s="4" t="str">
        <x:v>Sequential logic</x:v>
      </x:c>
      <x:c r="F588" s="4" t="str">
        <x:v>Reset, control priority and cycle behavior</x:v>
      </x:c>
      <x:c r="G588" s="4" t="str">
        <x:v>clk, resetn, r, g</x:v>
      </x:c>
      <x:c r="H588" s="4" t="str">
        <x:v>For top_module, initialize through its reset/load path, then vary r before active edges. Cover each control combination, holds, boundary transitions and reset during activity. Clock/reset events in this source: posedge clk.</x:v>
      </x:c>
      <x:c r="I588" s="4" t="str">
        <x:v>Check g only at its defined valid time. Compare a cycle-by-cycle reference state/sequence, including reset polarity and priority. Sample registered results after nonblocking updates; combinational Mealy outputs may require a pre-edge check. Source mapping: g[1] = (state == s1); g[2] = (state == s2); g[3] = (state == s3).</x:v>
      </x:c>
      <x:c r="J588" s="17"/>
      <x:c r="K588" s="24"/>
      <x:c r="L588" s="17"/>
      <x:c r="M588" s="17" t="str">
        <x:v>Compile this exercise separately because many files declare top_module. Use the original exercise statement as an independent oracle; helper stubs establish elaboration only.</x:v>
      </x:c>
      <x:c r="N588" s="4" t="str">
        <x:v>HDLBits Attempt 1/study/solutions/Day 14/177-exams__2013_q2afsm.sv</x:v>
      </x:c>
      <x:c r="O588" s="25" t="str">
        <x:v>https://github.com/kapiltrip/hdlBits/blob/fc3f2b993a1e202ef42a8e831c29f8f287f85e7a/HDLBits%20Attempt%201/study/solutions/Day%2014/177-exams__2013_q2afsm.sv</x:v>
      </x:c>
      <x:c r="P588" s="4" t="str">
        <x:f>IF(B588="Done",IF(OR(J588="",K588="",L588=""),"Add run evidence","Recorded"),IF(OR(B588="Blocked",B588="N/A"),IF(M588="","Add reason","Reason recorded"),""))</x:f>
      </x:c>
      <x:c r="Q588" s="4" t="str">
        <x:v>fc3f2b993a1e202ef42a8e831c29f8f287f85e7a</x:v>
      </x:c>
    </x:row>
    <x:row r="589" ht="124" customHeight="1">
      <x:c r="A589" s="15" t="str">
        <x:v>HDL-173</x:v>
      </x:c>
      <x:c r="B589" s="19" t="str">
        <x:v>Pending</x:v>
      </x:c>
      <x:c r="C589" s="15" t="str">
        <x:v>P1</x:v>
      </x:c>
      <x:c r="D589" s="15" t="str">
        <x:v>hdlBits</x:v>
      </x:c>
      <x:c r="E589" s="15" t="str">
        <x:v>Combinational logic</x:v>
      </x:c>
      <x:c r="F589" s="15" t="str">
        <x:v>Input combinations and output mapping</x:v>
      </x:c>
      <x:c r="G589" s="15" t="str">
        <x:v>d, done_counting, ack, state, B3_next, S_next, S1_next, Count_next, Wait_next, done, counting, shift_ena</x:v>
      </x:c>
      <x:c r="H589" s="15" t="str">
        <x:v>Drive d, done_counting, ack, state through binary combinations when small; for vectors use zero, all ones, alternating bits and walking one/zero. Toggle one input at a time and include rapid changes after a previous nonzero result.</x:v>
      </x:c>
      <x:c r="I589" s="15" t="str">
        <x:v>Check B3_next, S_next, S1_next, Count_next, Wait_next, done, counting, shift_ena against an independently written truth table. Combinational results must settle without a clock or stale retained values. Source mapping: B3_next = state[B2]; S_next = (state[S] &amp; ~d) | (state[S1] &amp; ~d) | (state[S110] &amp; ~d) | (state[Wait] &amp; ack); S1_next = state[S] &amp; d; Count_next = state[B3] | (state[Count] &amp; ~done_counting); Wait_next = (state[Count] &amp; done_counting) | (state[Wait] &amp; ~ack); done = state[Wait]; counting = state[Count]; shift_ena = state[B0] | state[B1] | state[B2] | state[B3].</x:v>
      </x:c>
      <x:c r="J589" s="17"/>
      <x:c r="K589" s="24"/>
      <x:c r="L589" s="17"/>
      <x:c r="M589" s="17" t="str">
        <x:v>Compile this exercise separately because many files declare top_module. Use the original exercise statement as an independent oracle; helper stubs establish elaboration only.</x:v>
      </x:c>
      <x:c r="N589" s="15" t="str">
        <x:v>HDLBits Attempt 1/study/solutions/Day 14/178-exams__review2015_fsmonehot.sv</x:v>
      </x:c>
      <x:c r="O589" s="26" t="str">
        <x:v>https://github.com/kapiltrip/hdlBits/blob/fc3f2b993a1e202ef42a8e831c29f8f287f85e7a/HDLBits%20Attempt%201/study/solutions/Day%2014/178-exams__review2015_fsmonehot.sv</x:v>
      </x:c>
      <x:c r="P589" s="15" t="str">
        <x:f>IF(B589="Done",IF(OR(J589="",K589="",L589=""),"Add run evidence","Recorded"),IF(OR(B589="Blocked",B589="N/A"),IF(M589="","Add reason","Reason recorded"),""))</x:f>
      </x:c>
      <x:c r="Q589" s="15" t="str">
        <x:v>fc3f2b993a1e202ef42a8e831c29f8f287f85e7a</x:v>
      </x:c>
    </x:row>
    <x:row r="590" ht="86" customHeight="1">
      <x:c r="A590" s="4" t="str">
        <x:v>HDL-174</x:v>
      </x:c>
      <x:c r="B590" s="19" t="str">
        <x:v>Pending</x:v>
      </x:c>
      <x:c r="C590" s="4" t="str">
        <x:v>P1</x:v>
      </x:c>
      <x:c r="D590" s="4" t="str">
        <x:v>hdlBits</x:v>
      </x:c>
      <x:c r="E590" s="4" t="str">
        <x:v>Game of Life</x:v>
      </x:c>
      <x:c r="F590" s="4" t="str">
        <x:v>Still life, oscillator and toroidal edges</x:v>
      </x:c>
      <x:c r="G590" s="4" t="str">
        <x:v>clk, load, data, q</x:v>
      </x:c>
      <x:c r="H590" s="4" t="str">
        <x:v>Load data with an empty board, a 2x2 block, a blinker and a pattern crossing row/column 15-to-0. Step clk and compare all 256 q bits.</x:v>
      </x:c>
      <x:c r="I590" s="4" t="str">
        <x:v>Each cell survives with two or three live neighbors; a dead cell is born with three. Neighbors wrap on the 16x16 torus, and every next cell is calculated from the same prior board.</x:v>
      </x:c>
      <x:c r="J590" s="17"/>
      <x:c r="K590" s="24"/>
      <x:c r="L590" s="17"/>
      <x:c r="M590" s="17" t="str">
        <x:v>Compile this exercise separately because many files declare top_module. Use the original exercise statement as an independent oracle; helper stubs establish elaboration only.</x:v>
      </x:c>
      <x:c r="N590" s="4" t="str">
        <x:v>HDLBits Attempt 1/study/solutions/Day 14/179-conwaylife.sv</x:v>
      </x:c>
      <x:c r="O590" s="25" t="str">
        <x:v>https://github.com/kapiltrip/hdlBits/blob/fc3f2b993a1e202ef42a8e831c29f8f287f85e7a/HDLBits%20Attempt%201/study/solutions/Day%2014/179-conwaylife.sv</x:v>
      </x:c>
      <x:c r="P590" s="4" t="str">
        <x:f>IF(B590="Done",IF(OR(J590="",K590="",L590=""),"Add run evidence","Recorded"),IF(OR(B590="Blocked",B590="N/A"),IF(M590="","Add reason","Reason recorded"),""))</x:f>
      </x:c>
      <x:c r="Q590" s="4" t="str">
        <x:v>fc3f2b993a1e202ef42a8e831c29f8f287f85e7a</x:v>
      </x:c>
    </x:row>
    <x:row r="591" ht="86" customHeight="1">
      <x:c r="A591" s="15" t="str">
        <x:v>HDL-175</x:v>
      </x:c>
      <x:c r="B591" s="19" t="str">
        <x:v>Pending</x:v>
      </x:c>
      <x:c r="C591" s="15" t="str">
        <x:v>P1</x:v>
      </x:c>
      <x:c r="D591" s="15" t="str">
        <x:v>hdlBits</x:v>
      </x:c>
      <x:c r="E591" s="15" t="str">
        <x:v>Serial run-length detector</x:v>
      </x:c>
      <x:c r="F591" s="15" t="str">
        <x:v>Stuffed zero, flag and error boundaries</x:v>
      </x:c>
      <x:c r="G591" s="15" t="str">
        <x:v>clk, reset, in, disc, flag, err</x:v>
      </x:c>
      <x:c r="H591" s="15" t="str">
        <x:v>Using clk, reset, in, disc, flag, err, send runs of four, five, six, seven and eight ones followed by zero, separated by idle zeros and reset.</x:v>
      </x:c>
      <x:c r="I591" s="15" t="str">
        <x:v>A zero after five ones raises disc; a zero after six raises flag; seven consecutive ones enter err, which holds while ones continue. Check the documented Mealy/Moore timing independently for each variant. Source mapping: disc = discReg; flag = flagReg; err = errReg.</x:v>
      </x:c>
      <x:c r="J591" s="17"/>
      <x:c r="K591" s="24"/>
      <x:c r="L591" s="17"/>
      <x:c r="M591" s="17" t="str">
        <x:v>Compile this exercise separately because many files declare top_module. Use the original exercise statement as an independent oracle; helper stubs establish elaboration only.</x:v>
      </x:c>
      <x:c r="N591" s="15" t="str">
        <x:v>HDLBits Attempt 2/internal/Discussion Drafts/fsm_hdlc_discussion.v</x:v>
      </x:c>
      <x:c r="O591" s="26" t="str">
        <x:v>https://github.com/kapiltrip/hdlBits/blob/fc3f2b993a1e202ef42a8e831c29f8f287f85e7a/HDLBits%20Attempt%202/internal/Discussion%20Drafts/fsm_hdlc_discussion.v</x:v>
      </x:c>
      <x:c r="P591" s="15" t="str">
        <x:f>IF(B591="Done",IF(OR(J591="",K591="",L591=""),"Add run evidence","Recorded"),IF(OR(B591="Blocked",B591="N/A"),IF(M591="","Add reason","Reason recorded"),""))</x:f>
      </x:c>
      <x:c r="Q591" s="15" t="str">
        <x:v>fc3f2b993a1e202ef42a8e831c29f8f287f85e7a</x:v>
      </x:c>
    </x:row>
    <x:row r="592" ht="86" customHeight="1">
      <x:c r="A592" s="4" t="str">
        <x:v>HDL-176</x:v>
      </x:c>
      <x:c r="B592" s="19" t="str">
        <x:v>Pending</x:v>
      </x:c>
      <x:c r="C592" s="4" t="str">
        <x:v>P1</x:v>
      </x:c>
      <x:c r="D592" s="4" t="str">
        <x:v>hdlBits</x:v>
      </x:c>
      <x:c r="E592" s="4" t="str">
        <x:v>Serial run-length detector</x:v>
      </x:c>
      <x:c r="F592" s="4" t="str">
        <x:v>Stuffed zero, flag and error boundaries</x:v>
      </x:c>
      <x:c r="G592" s="4" t="str">
        <x:v>clk, reset, in, disc, flag, err</x:v>
      </x:c>
      <x:c r="H592" s="4" t="str">
        <x:v>Using clk, reset, in, disc, flag, err, send runs of four, five, six, seven and eight ones followed by zero, separated by idle zeros and reset.</x:v>
      </x:c>
      <x:c r="I592" s="4" t="str">
        <x:v>A zero after five ones raises disc; a zero after six raises flag; seven consecutive ones enter err, which holds while ones continue. Check the documented Mealy/Moore timing independently for each variant. Source mapping: disc = (state == discardedFinal); flag = (state == flaggedFinal); err = (state == errorFound).</x:v>
      </x:c>
      <x:c r="J592" s="17"/>
      <x:c r="K592" s="24"/>
      <x:c r="L592" s="17"/>
      <x:c r="M592" s="17" t="str">
        <x:v>Compile this exercise separately because many files declare top_module. Use the original exercise statement as an independent oracle; helper stubs establish elaboration only.</x:v>
      </x:c>
      <x:c r="N592" s="4" t="str">
        <x:v>HDLBits Attempt 2/internal/Discussion Drafts/fsm_hdlc_working_moore.v</x:v>
      </x:c>
      <x:c r="O592" s="25" t="str">
        <x:v>https://github.com/kapiltrip/hdlBits/blob/fc3f2b993a1e202ef42a8e831c29f8f287f85e7a/HDLBits%20Attempt%202/internal/Discussion%20Drafts/fsm_hdlc_working_moore.v</x:v>
      </x:c>
      <x:c r="P592" s="4" t="str">
        <x:f>IF(B592="Done",IF(OR(J592="",K592="",L592=""),"Add run evidence","Recorded"),IF(OR(B592="Blocked",B592="N/A"),IF(M592="","Add reason","Reason recorded"),""))</x:f>
      </x:c>
      <x:c r="Q592" s="4" t="str">
        <x:v>fc3f2b993a1e202ef42a8e831c29f8f287f85e7a</x:v>
      </x:c>
    </x:row>
    <x:row r="593" ht="86" customHeight="1">
      <x:c r="A593" s="15" t="str">
        <x:v>HDL-177</x:v>
      </x:c>
      <x:c r="B593" s="19" t="str">
        <x:v>Pending</x:v>
      </x:c>
      <x:c r="C593" s="15" t="str">
        <x:v>P1</x:v>
      </x:c>
      <x:c r="D593" s="15" t="str">
        <x:v>hdlBits</x:v>
      </x:c>
      <x:c r="E593" s="15" t="str">
        <x:v>Game of Life</x:v>
      </x:c>
      <x:c r="F593" s="15" t="str">
        <x:v>Still life, oscillator and toroidal edges</x:v>
      </x:c>
      <x:c r="G593" s="15" t="str">
        <x:v>clk, load, data, q</x:v>
      </x:c>
      <x:c r="H593" s="15" t="str">
        <x:v>Load data with an empty board, a 2x2 block, a blinker and a pattern crossing row/column 15-to-0. Step clk and compare all 256 q bits.</x:v>
      </x:c>
      <x:c r="I593" s="15" t="str">
        <x:v>Each cell survives with two or three live neighbors; a dead cell is born with three. Neighbors wrap on the 16x16 torus, and every next cell is calculated from the same prior board.</x:v>
      </x:c>
      <x:c r="J593" s="17"/>
      <x:c r="K593" s="24"/>
      <x:c r="L593" s="17"/>
      <x:c r="M593" s="17" t="str">
        <x:v>Compile this exercise separately because many files declare top_module. Use the original exercise statement as an independent oracle; helper stubs establish elaboration only.</x:v>
      </x:c>
      <x:c r="N593" s="15" t="str">
        <x:v>HDLBits Attempt 2/internal/Documentation/conway_reference.v</x:v>
      </x:c>
      <x:c r="O593" s="26" t="str">
        <x:v>https://github.com/kapiltrip/hdlBits/blob/fc3f2b993a1e202ef42a8e831c29f8f287f85e7a/HDLBits%20Attempt%202/internal/Documentation/conway_reference.v</x:v>
      </x:c>
      <x:c r="P593" s="15" t="str">
        <x:f>IF(B593="Done",IF(OR(J593="",K593="",L593=""),"Add run evidence","Recorded"),IF(OR(B593="Blocked",B593="N/A"),IF(M593="","Add reason","Reason recorded"),""))</x:f>
      </x:c>
      <x:c r="Q593" s="15" t="str">
        <x:v>fc3f2b993a1e202ef42a8e831c29f8f287f85e7a</x:v>
      </x:c>
    </x:row>
    <x:row r="594" ht="86" customHeight="1">
      <x:c r="A594" s="4" t="str">
        <x:v>SV-016</x:v>
      </x:c>
      <x:c r="B594" s="19" t="str">
        <x:v>Pending</x:v>
      </x:c>
      <x:c r="C594" s="4" t="str">
        <x:v>P1</x:v>
      </x:c>
      <x:c r="D594" s="4" t="str">
        <x:v>systemverilog-from-beginning</x:v>
      </x:c>
      <x:c r="E594" s="4" t="str">
        <x:v>Multiplexer</x:v>
      </x:c>
      <x:c r="F594" s="4" t="str">
        <x:v>Every select and unselected-input isolation</x:v>
      </x:c>
      <x:c r="G594" s="4" t="str">
        <x:v>a, b, c, d, sel, y</x:v>
      </x:c>
      <x:c r="H594" s="4" t="str">
        <x:v>Sweep sel through all encodings; set data inputs to distinguishable patterns, then toggle only unselected inputs.</x:v>
      </x:c>
      <x:c r="I594" s="4" t="str">
        <x:v>y equals the selected input. Exercise selected values 0 and 1 and vector extremes. Unselected changes do not affect the result; verify the default mapping for unused encodings.</x:v>
      </x:c>
      <x:c r="J594" s="17"/>
      <x:c r="K594" s="24"/>
      <x:c r="L594" s="17"/>
      <x:c r="M594" s="17"/>
      <x:c r="N594" s="4" t="str">
        <x:v>SV Assertions/Codes/02-immediate-assertions-in-a-mux/design.sv</x:v>
      </x:c>
      <x:c r="O594" s="25" t="str">
        <x:v>https://github.com/kapiltrip/systemverilog-from-beginning/blob/318bd495dee245f946d7c72127cb698bcf6e6680/SV%20Assertions/Codes/02-immediate-assertions-in-a-mux/design.sv</x:v>
      </x:c>
      <x:c r="P594" s="4" t="str">
        <x:f>IF(B594="Done",IF(OR(J594="",K594="",L594=""),"Add run evidence","Recorded"),IF(OR(B594="Blocked",B594="N/A"),IF(M594="","Add reason","Reason recorded"),""))</x:f>
      </x:c>
      <x:c r="Q594" s="4" t="str">
        <x:v>318bd495dee245f946d7c72127cb698bcf6e6680</x:v>
      </x:c>
    </x:row>
    <x:row r="595" ht="86" customHeight="1">
      <x:c r="A595" s="15" t="str">
        <x:v>SV-017</x:v>
      </x:c>
      <x:c r="B595" s="19" t="str">
        <x:v>Pending</x:v>
      </x:c>
      <x:c r="C595" s="15" t="str">
        <x:v>P1</x:v>
      </x:c>
      <x:c r="D595" s="15" t="str">
        <x:v>systemverilog-from-beginning</x:v>
      </x:c>
      <x:c r="E595" s="15" t="str">
        <x:v>Sequential logic</x:v>
      </x:c>
      <x:c r="F595" s="15" t="str">
        <x:v>Reset, control priority and cycle behavior</x:v>
      </x:c>
      <x:c r="G595" s="15" t="str">
        <x:v>d, rstn, clk, q, qbar</x:v>
      </x:c>
      <x:c r="H595" s="15" t="str">
        <x:v>For dff, initialize through its reset/load path, then vary d before active edges. Cover each control combination, holds, boundary transitions and reset during activity. Clock/reset events in this source: posedge clk.</x:v>
      </x:c>
      <x:c r="I595" s="15" t="str">
        <x:v>Check q, qbar only at its defined valid time. Compare a cycle-by-cycle reference state/sequence, including reset polarity and priority. Sample registered results after nonblocking updates; combinational Mealy outputs may require a pre-edge check. Source mapping: q = temp_q; qbar = temp_qbar.</x:v>
      </x:c>
      <x:c r="J595" s="17"/>
      <x:c r="K595" s="24"/>
      <x:c r="L595" s="17"/>
      <x:c r="M595" s="17"/>
      <x:c r="N595" s="15" t="str">
        <x:v>SV Assertions/Codes/03-clocked-immediate-assertion-and-nba-timing/design.sv</x:v>
      </x:c>
      <x:c r="O595" s="26" t="str">
        <x:v>https://github.com/kapiltrip/systemverilog-from-beginning/blob/318bd495dee245f946d7c72127cb698bcf6e6680/SV%20Assertions/Codes/03-clocked-immediate-assertion-and-nba-timing/design.sv</x:v>
      </x:c>
      <x:c r="P595" s="15" t="str">
        <x:f>IF(B595="Done",IF(OR(J595="",K595="",L595=""),"Add run evidence","Recorded"),IF(OR(B595="Blocked",B595="N/A"),IF(M595="","Add reason","Reason recorded"),""))</x:f>
      </x:c>
      <x:c r="Q595" s="15" t="str">
        <x:v>318bd495dee245f946d7c72127cb698bcf6e6680</x:v>
      </x:c>
    </x:row>
    <x:row r="596" ht="86" customHeight="1">
      <x:c r="A596" s="4" t="str">
        <x:v>SV-018</x:v>
      </x:c>
      <x:c r="B596" s="19" t="str">
        <x:v>Pending</x:v>
      </x:c>
      <x:c r="C596" s="4" t="str">
        <x:v>P1</x:v>
      </x:c>
      <x:c r="D596" s="4" t="str">
        <x:v>systemverilog-from-beginning</x:v>
      </x:c>
      <x:c r="E596" s="4" t="str">
        <x:v>Sequential logic</x:v>
      </x:c>
      <x:c r="F596" s="4" t="str">
        <x:v>Reset, control priority and cycle behavior</x:v>
      </x:c>
      <x:c r="G596" s="4" t="str">
        <x:v>clk, rst, x, y</x:v>
      </x:c>
      <x:c r="H596" s="4" t="str">
        <x:v>For fsm, initialize through its reset/load path, then vary x before active edges. Cover each control combination, holds, boundary transitions and reset during activity. Clock/reset events in this source: posedge clk.</x:v>
      </x:c>
      <x:c r="I596" s="4" t="str">
        <x:v>Check y only at its defined valid time. Compare a cycle-by-cycle reference state/sequence, including reset polarity and priority. Sample registered results after nonblocking updates; combinational Mealy outputs may require a pre-edge check.</x:v>
      </x:c>
      <x:c r="J596" s="17"/>
      <x:c r="K596" s="24"/>
      <x:c r="L596" s="17"/>
      <x:c r="M596" s="17"/>
      <x:c r="N596" s="4" t="str">
        <x:v>SV Assertions/Projects/01-fsm-verification-with-sva/design.sv</x:v>
      </x:c>
      <x:c r="O596" s="25" t="str">
        <x:v>https://github.com/kapiltrip/systemverilog-from-beginning/blob/318bd495dee245f946d7c72127cb698bcf6e6680/SV%20Assertions/Projects/01-fsm-verification-with-sva/design.sv</x:v>
      </x:c>
      <x:c r="P596" s="4" t="str">
        <x:f>IF(B596="Done",IF(OR(J596="",K596="",L596=""),"Add run evidence","Recorded"),IF(OR(B596="Blocked",B596="N/A"),IF(M596="","Add reason","Reason recorded"),""))</x:f>
      </x:c>
      <x:c r="Q596" s="4" t="str">
        <x:v>318bd495dee245f946d7c72127cb698bcf6e6680</x:v>
      </x:c>
    </x:row>
    <x:row r="597" ht="86" customHeight="1">
      <x:c r="A597" s="15" t="str">
        <x:v>SV-019</x:v>
      </x:c>
      <x:c r="B597" s="19" t="str">
        <x:v>Pending</x:v>
      </x:c>
      <x:c r="C597" s="15" t="str">
        <x:v>P1</x:v>
      </x:c>
      <x:c r="D597" s="15" t="str">
        <x:v>systemverilog-from-beginning</x:v>
      </x:c>
      <x:c r="E597" s="15" t="str">
        <x:v>Counter</x:v>
      </x:c>
      <x:c r="F597" s="15" t="str">
        <x:v>Reset, rollover and control priority</x:v>
      </x:c>
      <x:c r="G597" s="15" t="str">
        <x:v>clk, rst, up, dout</x:v>
      </x:c>
      <x:c r="H597" s="15" t="str">
        <x:v>Initialize counter; test every enable/load/direction combination in clk, rst, up. Run past both wrap boundaries and reassert reset away from and on active clock edges.</x:v>
      </x:c>
      <x:c r="I597" s="15" t="str">
        <x:v>dout follows the stated binary/BCD/modulo range and reset value. Count accepted enabled edges only, verify hold when specified, and check load versus count priority. A source without enable free-runs.</x:v>
      </x:c>
      <x:c r="J597" s="17"/>
      <x:c r="K597" s="24"/>
      <x:c r="L597" s="17"/>
      <x:c r="M597" s="17"/>
      <x:c r="N597" s="15" t="str">
        <x:v>SV Assertions/Projects/02-counter-assertions-with-bind/design.sv</x:v>
      </x:c>
      <x:c r="O597" s="26" t="str">
        <x:v>https://github.com/kapiltrip/systemverilog-from-beginning/blob/318bd495dee245f946d7c72127cb698bcf6e6680/SV%20Assertions/Projects/02-counter-assertions-with-bind/design.sv</x:v>
      </x:c>
      <x:c r="P597" s="15" t="str">
        <x:f>IF(B597="Done",IF(OR(J597="",K597="",L597=""),"Add run evidence","Recorded"),IF(OR(B597="Blocked",B597="N/A"),IF(M597="","Add reason","Reason recorded"),""))</x:f>
      </x:c>
      <x:c r="Q597" s="15" t="str">
        <x:v>318bd495dee245f946d7c72127cb698bcf6e6680</x:v>
      </x:c>
    </x:row>
    <x:row r="598" ht="86" customHeight="1">
      <x:c r="A598" s="4" t="str">
        <x:v>SV-020</x:v>
      </x:c>
      <x:c r="B598" s="19" t="str">
        <x:v>Pending</x:v>
      </x:c>
      <x:c r="C598" s="4" t="str">
        <x:v>P1</x:v>
      </x:c>
      <x:c r="D598" s="4" t="str">
        <x:v>systemverilog-from-beginning</x:v>
      </x:c>
      <x:c r="E598" s="4" t="str">
        <x:v>Sequential logic</x:v>
      </x:c>
      <x:c r="F598" s="4" t="str">
        <x:v>Reset, control priority and cycle behavior</x:v>
      </x:c>
      <x:c r="G598" s="4" t="str">
        <x:v>clk, rst, wr_en, rd_en, wr_data, rd_data, full, empty</x:v>
      </x:c>
      <x:c r="H598" s="4" t="str">
        <x:v>For sync_fifo, initialize through its reset/load path, then vary wr_en, rd_en, wr_data before active edges. Cover each control combination, holds, boundary transitions and reset during activity. Clock/reset events in this source: posedge clk.</x:v>
      </x:c>
      <x:c r="I598" s="4" t="str">
        <x:v>Check rd_data, full, empty only at its defined valid time. Compare a cycle-by-cycle reference state/sequence, including reset polarity and priority. Sample registered results after nonblocking updates; combinational Mealy outputs may require a pre-edge check. Source mapping: full = (fifo_count == DEPTH); empty = (fifo_count == 0).</x:v>
      </x:c>
      <x:c r="J598" s="17"/>
      <x:c r="K598" s="24"/>
      <x:c r="L598" s="17"/>
      <x:c r="M598" s="17"/>
      <x:c r="N598" s="4" t="str">
        <x:v>SV Basics/Codes/30-fifo-transaction-and-weighted-constraints/design.sv</x:v>
      </x:c>
      <x:c r="O598" s="25" t="str">
        <x:v>https://github.com/kapiltrip/systemverilog-from-beginning/blob/318bd495dee245f946d7c72127cb698bcf6e6680/SV%20Basics/Codes/30-fifo-transaction-and-weighted-constraints/design.sv</x:v>
      </x:c>
      <x:c r="P598" s="4" t="str">
        <x:f>IF(B598="Done",IF(OR(J598="",K598="",L598=""),"Add run evidence","Recorded"),IF(OR(B598="Blocked",B598="N/A"),IF(M598="","Add reason","Reason recorded"),""))</x:f>
      </x:c>
      <x:c r="Q598" s="4" t="str">
        <x:v>318bd495dee245f946d7c72127cb698bcf6e6680</x:v>
      </x:c>
    </x:row>
    <x:row r="599" ht="86" customHeight="1">
      <x:c r="A599" s="15" t="str">
        <x:v>SV-021</x:v>
      </x:c>
      <x:c r="B599" s="19" t="str">
        <x:v>Pending</x:v>
      </x:c>
      <x:c r="C599" s="15" t="str">
        <x:v>P1</x:v>
      </x:c>
      <x:c r="D599" s="15" t="str">
        <x:v>systemverilog-from-beginning</x:v>
      </x:c>
      <x:c r="E599" s="15" t="str">
        <x:v>Sequential logic</x:v>
      </x:c>
      <x:c r="F599" s="15" t="str">
        <x:v>Reset, control priority and cycle behavior</x:v>
      </x:c>
      <x:c r="G599" s="15" t="str">
        <x:v>a, b, clk, sum</x:v>
      </x:c>
      <x:c r="H599" s="15" t="str">
        <x:v>For add, initialize through its reset/load path, then vary a, b before active edges. Cover each control combination, holds, boundary transitions and reset during activity. Clock/reset events in this source: posedge clk.</x:v>
      </x:c>
      <x:c r="I599" s="15" t="str">
        <x:v>Check sum only at its defined valid time. Compare a cycle-by-cycle reference state/sequence, including reset polarity and priority. Sample registered results after nonblocking updates; combinational Mealy outputs may require a pre-edge check.</x:v>
      </x:c>
      <x:c r="J599" s="17"/>
      <x:c r="K599" s="24"/>
      <x:c r="L599" s="17"/>
      <x:c r="M599" s="17"/>
      <x:c r="N599" s="15" t="str">
        <x:v>SV Basics/Codes/40-interface-modport-and-virtual-interface/design.sv</x:v>
      </x:c>
      <x:c r="O599" s="26" t="str">
        <x:v>https://github.com/kapiltrip/systemverilog-from-beginning/blob/318bd495dee245f946d7c72127cb698bcf6e6680/SV%20Basics/Codes/40-interface-modport-and-virtual-interface/design.sv</x:v>
      </x:c>
      <x:c r="P599" s="15" t="str">
        <x:f>IF(B599="Done",IF(OR(J599="",K599="",L599=""),"Add run evidence","Recorded"),IF(OR(B599="Blocked",B599="N/A"),IF(M599="","Add reason","Reason recorded"),""))</x:f>
      </x:c>
      <x:c r="Q599" s="15" t="str">
        <x:v>318bd495dee245f946d7c72127cb698bcf6e6680</x:v>
      </x:c>
    </x:row>
    <x:row r="600" ht="86" customHeight="1">
      <x:c r="A600" s="4" t="str">
        <x:v>SV-022</x:v>
      </x:c>
      <x:c r="B600" s="19" t="str">
        <x:v>Pending</x:v>
      </x:c>
      <x:c r="C600" s="4" t="str">
        <x:v>P1</x:v>
      </x:c>
      <x:c r="D600" s="4" t="str">
        <x:v>systemverilog-from-beginning</x:v>
      </x:c>
      <x:c r="E600" s="4" t="str">
        <x:v>Arithmetic</x:v>
      </x:c>
      <x:c r="F600" s="4" t="str">
        <x:v>Arithmetic, carry/borrow and width</x:v>
      </x:c>
      <x:c r="G600" s="4" t="str">
        <x:v>a, b, clk, sum</x:v>
      </x:c>
      <x:c r="H600" s="4" t="str">
        <x:v>Exercise a, b, clk at zero, one, maximum, alternating patterns and long carry/borrow chains. Exhaust all combinations for small widths; include both carry-in/subtract settings when present.</x:v>
      </x:c>
      <x:c r="I600" s="4" t="str">
        <x:v>Compute the integer arithmetic independently, then apply the declared result width. Check every sum bit including carry, borrow or signed overflow where exposed. Carry-out and signed overflow are different. Respect the clocked latency and load/enable priorities.</x:v>
      </x:c>
      <x:c r="J600" s="17"/>
      <x:c r="K600" s="24"/>
      <x:c r="L600" s="17"/>
      <x:c r="M600" s="17"/>
      <x:c r="N600" s="4" t="str">
        <x:v>SV Basics/Codes/41-layered-adder-testbench-and-object-copies/design.sv</x:v>
      </x:c>
      <x:c r="O600" s="25" t="str">
        <x:v>https://github.com/kapiltrip/systemverilog-from-beginning/blob/318bd495dee245f946d7c72127cb698bcf6e6680/SV%20Basics/Codes/41-layered-adder-testbench-and-object-copies/design.sv</x:v>
      </x:c>
      <x:c r="P600" s="4" t="str">
        <x:f>IF(B600="Done",IF(OR(J600="",K600="",L600=""),"Add run evidence","Recorded"),IF(OR(B600="Blocked",B600="N/A"),IF(M600="","Add reason","Reason recorded"),""))</x:f>
      </x:c>
      <x:c r="Q600" s="4" t="str">
        <x:v>318bd495dee245f946d7c72127cb698bcf6e6680</x:v>
      </x:c>
    </x:row>
    <x:row r="601" ht="86" customHeight="1">
      <x:c r="A601" s="15" t="str">
        <x:v>SV-023</x:v>
      </x:c>
      <x:c r="B601" s="19" t="str">
        <x:v>Pending</x:v>
      </x:c>
      <x:c r="C601" s="15" t="str">
        <x:v>P1</x:v>
      </x:c>
      <x:c r="D601" s="15" t="str">
        <x:v>systemverilog-from-beginning</x:v>
      </x:c>
      <x:c r="E601" s="15" t="str">
        <x:v>Sequential logic</x:v>
      </x:c>
      <x:c r="F601" s="15" t="str">
        <x:v>Reset, control priority and cycle behavior</x:v>
      </x:c>
      <x:c r="G601" s="15" t="str">
        <x:v>a, b, clk, sum</x:v>
      </x:c>
      <x:c r="H601" s="15" t="str">
        <x:v>For add, initialize through its reset/load path, then vary a, b before active edges. Cover each control combination, holds, boundary transitions and reset during activity. Clock/reset events in this source: posedge clk.</x:v>
      </x:c>
      <x:c r="I601" s="15" t="str">
        <x:v>Check sum only at its defined valid time. Compare a cycle-by-cycle reference state/sequence, including reset polarity and priority. Sample registered results after nonblocking updates; combinational Mealy outputs may require a pre-edge check.</x:v>
      </x:c>
      <x:c r="J601" s="17"/>
      <x:c r="K601" s="24"/>
      <x:c r="L601" s="17"/>
      <x:c r="M601" s="17"/>
      <x:c r="N601" s="15" t="str">
        <x:v>SV Basics/Codes/42-error-injection-with-inheritance/design.sv</x:v>
      </x:c>
      <x:c r="O601" s="26" t="str">
        <x:v>https://github.com/kapiltrip/systemverilog-from-beginning/blob/318bd495dee245f946d7c72127cb698bcf6e6680/SV%20Basics/Codes/42-error-injection-with-inheritance/design.sv</x:v>
      </x:c>
      <x:c r="P601" s="15" t="str">
        <x:f>IF(B601="Done",IF(OR(J601="",K601="",L601=""),"Add run evidence","Recorded"),IF(OR(B601="Blocked",B601="N/A"),IF(M601="","Add reason","Reason recorded"),""))</x:f>
      </x:c>
      <x:c r="Q601" s="15" t="str">
        <x:v>318bd495dee245f946d7c72127cb698bcf6e6680</x:v>
      </x:c>
    </x:row>
    <x:row r="602" ht="86" customHeight="1">
      <x:c r="A602" s="4" t="str">
        <x:v>SV-024</x:v>
      </x:c>
      <x:c r="B602" s="19" t="str">
        <x:v>Pending</x:v>
      </x:c>
      <x:c r="C602" s="4" t="str">
        <x:v>P1</x:v>
      </x:c>
      <x:c r="D602" s="4" t="str">
        <x:v>systemverilog-from-beginning</x:v>
      </x:c>
      <x:c r="E602" s="4" t="str">
        <x:v>Sequential logic</x:v>
      </x:c>
      <x:c r="F602" s="4" t="str">
        <x:v>Reset, control priority and cycle behavior</x:v>
      </x:c>
      <x:c r="G602" s="4" t="str">
        <x:v>a, b, clk, sum</x:v>
      </x:c>
      <x:c r="H602" s="4" t="str">
        <x:v>For add, initialize through its reset/load path, then vary a, b before active edges. Cover each control combination, holds, boundary transitions and reset during activity. Clock/reset events in this source: posedge clk.</x:v>
      </x:c>
      <x:c r="I602" s="4" t="str">
        <x:v>Check sum only at its defined valid time. Compare a cycle-by-cycle reference state/sequence, including reset polarity and priority. Sample registered results after nonblocking updates; combinational Mealy outputs may require a pre-edge check.</x:v>
      </x:c>
      <x:c r="J602" s="17"/>
      <x:c r="K602" s="24"/>
      <x:c r="L602" s="17"/>
      <x:c r="M602" s="17"/>
      <x:c r="N602" s="4" t="str">
        <x:v>SV Basics/Codes/43-polymorphic-copy-error-injection/design.sv</x:v>
      </x:c>
      <x:c r="O602" s="25" t="str">
        <x:v>https://github.com/kapiltrip/systemverilog-from-beginning/blob/318bd495dee245f946d7c72127cb698bcf6e6680/SV%20Basics/Codes/43-polymorphic-copy-error-injection/design.sv</x:v>
      </x:c>
      <x:c r="P602" s="4" t="str">
        <x:f>IF(B602="Done",IF(OR(J602="",K602="",L602=""),"Add run evidence","Recorded"),IF(OR(B602="Blocked",B602="N/A"),IF(M602="","Add reason","Reason recorded"),""))</x:f>
      </x:c>
      <x:c r="Q602" s="4" t="str">
        <x:v>318bd495dee245f946d7c72127cb698bcf6e6680</x:v>
      </x:c>
    </x:row>
    <x:row r="603" ht="86" customHeight="1">
      <x:c r="A603" s="15" t="str">
        <x:v>SV-025</x:v>
      </x:c>
      <x:c r="B603" s="19" t="str">
        <x:v>Pending</x:v>
      </x:c>
      <x:c r="C603" s="15" t="str">
        <x:v>P1</x:v>
      </x:c>
      <x:c r="D603" s="15" t="str">
        <x:v>systemverilog-from-beginning</x:v>
      </x:c>
      <x:c r="E603" s="15" t="str">
        <x:v>Sequential logic</x:v>
      </x:c>
      <x:c r="F603" s="15" t="str">
        <x:v>Reset, control priority and cycle behavior</x:v>
      </x:c>
      <x:c r="G603" s="15" t="str">
        <x:v>a, b, clk, sum</x:v>
      </x:c>
      <x:c r="H603" s="15" t="str">
        <x:v>For add, initialize through its reset/load path, then vary a, b before active edges. Cover each control combination, holds, boundary transitions and reset during activity. Clock/reset events in this source: posedge clk.</x:v>
      </x:c>
      <x:c r="I603" s="15" t="str">
        <x:v>Check sum only at its defined valid time. Compare a cycle-by-cycle reference state/sequence, including reset polarity and priority. Sample registered results after nonblocking updates; combinational Mealy outputs may require a pre-edge check.</x:v>
      </x:c>
      <x:c r="J603" s="17"/>
      <x:c r="K603" s="24"/>
      <x:c r="L603" s="17"/>
      <x:c r="M603" s="17"/>
      <x:c r="N603" s="15" t="str">
        <x:v>SV Basics/Codes/44-monitor-scoreboard-separate-mailboxes/design.sv</x:v>
      </x:c>
      <x:c r="O603" s="26" t="str">
        <x:v>https://github.com/kapiltrip/systemverilog-from-beginning/blob/318bd495dee245f946d7c72127cb698bcf6e6680/SV%20Basics/Codes/44-monitor-scoreboard-separate-mailboxes/design.sv</x:v>
      </x:c>
      <x:c r="P603" s="15" t="str">
        <x:f>IF(B603="Done",IF(OR(J603="",K603="",L603=""),"Add run evidence","Recorded"),IF(OR(B603="Blocked",B603="N/A"),IF(M603="","Add reason","Reason recorded"),""))</x:f>
      </x:c>
      <x:c r="Q603" s="15" t="str">
        <x:v>318bd495dee245f946d7c72127cb698bcf6e6680</x:v>
      </x:c>
    </x:row>
    <x:row r="604" ht="86" customHeight="1">
      <x:c r="A604" s="4" t="str">
        <x:v>SV-026</x:v>
      </x:c>
      <x:c r="B604" s="19" t="str">
        <x:v>Pending</x:v>
      </x:c>
      <x:c r="C604" s="4" t="str">
        <x:v>P1</x:v>
      </x:c>
      <x:c r="D604" s="4" t="str">
        <x:v>systemverilog-from-beginning</x:v>
      </x:c>
      <x:c r="E604" s="4" t="str">
        <x:v>Combinational logic</x:v>
      </x:c>
      <x:c r="F604" s="4" t="str">
        <x:v>Input combinations and output mapping</x:v>
      </x:c>
      <x:c r="G604" s="4" t="str">
        <x:v>a, b</x:v>
      </x:c>
      <x:c r="H604" s="4" t="str">
        <x:v>Drive a through binary combinations when small; for vectors use zero, all ones, alternating bits and walking one/zero. Toggle one input at a time and include rapid changes after a previous nonzero result.</x:v>
      </x:c>
      <x:c r="I604" s="4" t="str">
        <x:v>Check b against an independently written truth table. Combinational results must settle without a clock or stale retained values. Source mapping: b = a.</x:v>
      </x:c>
      <x:c r="J604" s="17"/>
      <x:c r="K604" s="24"/>
      <x:c r="L604" s="17"/>
      <x:c r="M604" s="17"/>
      <x:c r="N604" s="4" t="str">
        <x:v>SV Functional Coverage/Codes/01-basic-coverpoints/design.sv</x:v>
      </x:c>
      <x:c r="O604" s="25" t="str">
        <x:v>https://github.com/kapiltrip/systemverilog-from-beginning/blob/318bd495dee245f946d7c72127cb698bcf6e6680/SV%20Functional%20Coverage/Codes/01-basic-coverpoints/design.sv</x:v>
      </x:c>
      <x:c r="P604" s="4" t="str">
        <x:f>IF(B604="Done",IF(OR(J604="",K604="",L604=""),"Add run evidence","Recorded"),IF(OR(B604="Blocked",B604="N/A"),IF(M604="","Add reason","Reason recorded"),""))</x:f>
      </x:c>
      <x:c r="Q604" s="4" t="str">
        <x:v>318bd495dee245f946d7c72127cb698bcf6e6680</x:v>
      </x:c>
    </x:row>
    <x:row r="605" ht="86" customHeight="1">
      <x:c r="A605" s="15" t="str">
        <x:v>SV-027</x:v>
      </x:c>
      <x:c r="B605" s="19" t="str">
        <x:v>Pending</x:v>
      </x:c>
      <x:c r="C605" s="15" t="str">
        <x:v>P1</x:v>
      </x:c>
      <x:c r="D605" s="15" t="str">
        <x:v>systemverilog-from-beginning</x:v>
      </x:c>
      <x:c r="E605" s="15" t="str">
        <x:v>Combinational logic</x:v>
      </x:c>
      <x:c r="F605" s="15" t="str">
        <x:v>Input combinations and output mapping</x:v>
      </x:c>
      <x:c r="G605" s="15" t="str">
        <x:v>a, b, c, d, sel, y</x:v>
      </x:c>
      <x:c r="H605" s="15" t="str">
        <x:v>Drive a, b, c, d, sel through binary combinations when small; for vectors use zero, all ones, alternating bits and walking one/zero. Toggle one input at a time and include rapid changes after a previous nonzero result.</x:v>
      </x:c>
      <x:c r="I605" s="15" t="str">
        <x:v>Check y against an independently written truth table. Combinational results must settle without a clock or stale retained values.</x:v>
      </x:c>
      <x:c r="J605" s="17"/>
      <x:c r="K605" s="24"/>
      <x:c r="L605" s="17"/>
      <x:c r="M605" s="17"/>
      <x:c r="N605" s="15" t="str">
        <x:v>SV Functional Coverage/Codes/07-multiplexer-signal-coverpoints/design.sv</x:v>
      </x:c>
      <x:c r="O605" s="26" t="str">
        <x:v>https://github.com/kapiltrip/systemverilog-from-beginning/blob/318bd495dee245f946d7c72127cb698bcf6e6680/SV%20Functional%20Coverage/Codes/07-multiplexer-signal-coverpoints/design.sv</x:v>
      </x:c>
      <x:c r="P605" s="15" t="str">
        <x:f>IF(B605="Done",IF(OR(J605="",K605="",L605=""),"Add run evidence","Recorded"),IF(OR(B605="Blocked",B605="N/A"),IF(M605="","Add reason","Reason recorded"),""))</x:f>
      </x:c>
      <x:c r="Q605" s="15" t="str">
        <x:v>318bd495dee245f946d7c72127cb698bcf6e6680</x:v>
      </x:c>
    </x:row>
    <x:row r="606" ht="86" customHeight="1">
      <x:c r="A606" s="4" t="str">
        <x:v>SV-028</x:v>
      </x:c>
      <x:c r="B606" s="19" t="str">
        <x:v>Pending</x:v>
      </x:c>
      <x:c r="C606" s="4" t="str">
        <x:v>P1</x:v>
      </x:c>
      <x:c r="D606" s="4" t="str">
        <x:v>systemverilog-from-beginning</x:v>
      </x:c>
      <x:c r="E606" s="4" t="str">
        <x:v>Sequential logic</x:v>
      </x:c>
      <x:c r="F606" s="4" t="str">
        <x:v>Reset, control priority and cycle behavior</x:v>
      </x:c>
      <x:c r="G606" s="4" t="str">
        <x:v>x, clk, rst, y</x:v>
      </x:c>
      <x:c r="H606" s="4" t="str">
        <x:v>For fsm, initialize through its reset/load path, then vary x before active edges. Cover each control combination, holds, boundary transitions and reset during activity. Clock/reset events in this source: posedge clk, posedge rst.</x:v>
      </x:c>
      <x:c r="I606" s="4" t="str">
        <x:v>Check y only at its defined valid time. Compare a cycle-by-cycle reference state/sequence, including reset polarity and priority. Sample registered results after nonblocking updates; combinational Mealy outputs may require a pre-edge check.</x:v>
      </x:c>
      <x:c r="J606" s="17"/>
      <x:c r="K606" s="24"/>
      <x:c r="L606" s="17"/>
      <x:c r="M606" s="17"/>
      <x:c r="N606" s="4" t="str">
        <x:v>SV Functional Coverage/Codes/09-fsm-state-coverage-and-report-timing/design.sv</x:v>
      </x:c>
      <x:c r="O606" s="25" t="str">
        <x:v>https://github.com/kapiltrip/systemverilog-from-beginning/blob/318bd495dee245f946d7c72127cb698bcf6e6680/SV%20Functional%20Coverage/Codes/09-fsm-state-coverage-and-report-timing/design.sv</x:v>
      </x:c>
      <x:c r="P606" s="4" t="str">
        <x:f>IF(B606="Done",IF(OR(J606="",K606="",L606=""),"Add run evidence","Recorded"),IF(OR(B606="Blocked",B606="N/A"),IF(M606="","Add reason","Reason recorded"),""))</x:f>
      </x:c>
      <x:c r="Q606" s="4" t="str">
        <x:v>318bd495dee245f946d7c72127cb698bcf6e6680</x:v>
      </x:c>
    </x:row>
    <x:row r="607" ht="86" customHeight="1">
      <x:c r="A607" s="15" t="str">
        <x:v>SV-029</x:v>
      </x:c>
      <x:c r="B607" s="19" t="str">
        <x:v>Pending</x:v>
      </x:c>
      <x:c r="C607" s="15" t="str">
        <x:v>P1</x:v>
      </x:c>
      <x:c r="D607" s="15" t="str">
        <x:v>systemverilog-from-beginning</x:v>
      </x:c>
      <x:c r="E607" s="15" t="str">
        <x:v>Priority encoder</x:v>
      </x:c>
      <x:c r="F607" s="15" t="str">
        <x:v>Every request, priorities and zero input</x:v>
      </x:c>
      <x:c r="G607" s="15" t="str">
        <x:v>x, y</x:v>
      </x:c>
      <x:c r="H607" s="15" t="str">
        <x:v>Apply each one-hot bit to x, then adjacent pairs, all ones and all zeros; sweep small input spaces.</x:v>
      </x:c>
      <x:c r="I607" s="15" t="str">
        <x:v>y identifies the source-defined highest/lowest-priority active input; verify the direction explicitly. Check any valid output, and treat a specified X/Z zero-input result separately from valid binary encoding.</x:v>
      </x:c>
      <x:c r="J607" s="17"/>
      <x:c r="K607" s="24"/>
      <x:c r="L607" s="17"/>
      <x:c r="M607" s="17"/>
      <x:c r="N607" s="15" t="str">
        <x:v>SV Functional Coverage/Codes/14-wildcard-bins-casez-and-casex/design.sv</x:v>
      </x:c>
      <x:c r="O607" s="26" t="str">
        <x:v>https://github.com/kapiltrip/systemverilog-from-beginning/blob/318bd495dee245f946d7c72127cb698bcf6e6680/SV%20Functional%20Coverage/Codes/14-wildcard-bins-casez-and-casex/design.sv</x:v>
      </x:c>
      <x:c r="P607" s="15" t="str">
        <x:f>IF(B607="Done",IF(OR(J607="",K607="",L607=""),"Add run evidence","Recorded"),IF(OR(B607="Blocked",B607="N/A"),IF(M607="","Add reason","Reason recorded"),""))</x:f>
      </x:c>
      <x:c r="Q607" s="15" t="str">
        <x:v>318bd495dee245f946d7c72127cb698bcf6e6680</x:v>
      </x:c>
    </x:row>
    <x:row r="608" ht="86" customHeight="1">
      <x:c r="A608" s="4" t="str">
        <x:v>SV-030</x:v>
      </x:c>
      <x:c r="B608" s="19" t="str">
        <x:v>Pending</x:v>
      </x:c>
      <x:c r="C608" s="4" t="str">
        <x:v>P1</x:v>
      </x:c>
      <x:c r="D608" s="4" t="str">
        <x:v>systemverilog-from-beginning</x:v>
      </x:c>
      <x:c r="E608" s="4" t="str">
        <x:v>Priority encoder</x:v>
      </x:c>
      <x:c r="F608" s="4" t="str">
        <x:v>Every request, priorities and zero input</x:v>
      </x:c>
      <x:c r="G608" s="4" t="str">
        <x:v>x, y</x:v>
      </x:c>
      <x:c r="H608" s="4" t="str">
        <x:v>Apply each one-hot bit to x, then adjacent pairs, all ones and all zeros; sweep small input spaces.</x:v>
      </x:c>
      <x:c r="I608" s="4" t="str">
        <x:v>y identifies the source-defined highest/lowest-priority active input; verify the direction explicitly. Check any valid output, and treat a specified X/Z zero-input result separately from valid binary encoding.</x:v>
      </x:c>
      <x:c r="J608" s="17"/>
      <x:c r="K608" s="24"/>
      <x:c r="L608" s="17"/>
      <x:c r="M608" s="17"/>
      <x:c r="N608" s="4" t="str">
        <x:v>SV Functional Coverage/Codes/14-wildcard-bins-casez-and-casex/verified-design.sv</x:v>
      </x:c>
      <x:c r="O608" s="25" t="str">
        <x:v>https://github.com/kapiltrip/systemverilog-from-beginning/blob/318bd495dee245f946d7c72127cb698bcf6e6680/SV%20Functional%20Coverage/Codes/14-wildcard-bins-casez-and-casex/verified-design.sv</x:v>
      </x:c>
      <x:c r="P608" s="4" t="str">
        <x:f>IF(B608="Done",IF(OR(J608="",K608="",L608=""),"Add run evidence","Recorded"),IF(OR(B608="Blocked",B608="N/A"),IF(M608="","Add reason","Reason recorded"),""))</x:f>
      </x:c>
      <x:c r="Q608" s="4" t="str">
        <x:v>318bd495dee245f946d7c72127cb698bcf6e6680</x:v>
      </x:c>
    </x:row>
    <x:row r="609" ht="86" customHeight="1">
      <x:c r="A609" s="15" t="str">
        <x:v>SV-031</x:v>
      </x:c>
      <x:c r="B609" s="19" t="str">
        <x:v>Pending</x:v>
      </x:c>
      <x:c r="C609" s="15" t="str">
        <x:v>P1</x:v>
      </x:c>
      <x:c r="D609" s="15" t="str">
        <x:v>systemverilog-from-beginning</x:v>
      </x:c>
      <x:c r="E609" s="15" t="str">
        <x:v>Counter</x:v>
      </x:c>
      <x:c r="F609" s="15" t="str">
        <x:v>Reset, rollover and control priority</x:v>
      </x:c>
      <x:c r="G609" s="15" t="str">
        <x:v>clk, en, y</x:v>
      </x:c>
      <x:c r="H609" s="15" t="str">
        <x:v>Initialize counter; test every enable/load/direction combination in clk, en. Run past both wrap boundaries and reassert reset away from and on active clock edges.</x:v>
      </x:c>
      <x:c r="I609" s="15" t="str">
        <x:v>y follows the stated binary/BCD/modulo range and reset value. Count accepted enabled edges only, verify hold when specified, and check load versus count priority. A source without enable free-runs.</x:v>
      </x:c>
      <x:c r="J609" s="17"/>
      <x:c r="K609" s="24"/>
      <x:c r="L609" s="17"/>
      <x:c r="M609" s="17"/>
      <x:c r="N609" s="15" t="str">
        <x:v>SV Functional Coverage/Codes/15-counter-wildcard-bins-and-finite-reporting/design.sv</x:v>
      </x:c>
      <x:c r="O609" s="26" t="str">
        <x:v>https://github.com/kapiltrip/systemverilog-from-beginning/blob/318bd495dee245f946d7c72127cb698bcf6e6680/SV%20Functional%20Coverage/Codes/15-counter-wildcard-bins-and-finite-reporting/design.sv</x:v>
      </x:c>
      <x:c r="P609" s="15" t="str">
        <x:f>IF(B609="Done",IF(OR(J609="",K609="",L609=""),"Add run evidence","Recorded"),IF(OR(B609="Blocked",B609="N/A"),IF(M609="","Add reason","Reason recorded"),""))</x:f>
      </x:c>
      <x:c r="Q609" s="15" t="str">
        <x:v>318bd495dee245f946d7c72127cb698bcf6e6680</x:v>
      </x:c>
    </x:row>
    <x:row r="610" ht="86" customHeight="1">
      <x:c r="A610" s="4" t="str">
        <x:v>SV-032</x:v>
      </x:c>
      <x:c r="B610" s="19" t="str">
        <x:v>Pending</x:v>
      </x:c>
      <x:c r="C610" s="4" t="str">
        <x:v>P1</x:v>
      </x:c>
      <x:c r="D610" s="4" t="str">
        <x:v>systemverilog-from-beginning</x:v>
      </x:c>
      <x:c r="E610" s="4" t="str">
        <x:v>Combinational logic</x:v>
      </x:c>
      <x:c r="F610" s="4" t="str">
        <x:v>Input combinations and output mapping</x:v>
      </x:c>
      <x:c r="G610" s="4" t="str">
        <x:v>a, b, opcode, y</x:v>
      </x:c>
      <x:c r="H610" s="4" t="str">
        <x:v>Drive a, b, opcode through binary combinations when small; for vectors use zero, all ones, alternating bits and walking one/zero. Toggle one input at a time and include rapid changes after a previous nonzero result.</x:v>
      </x:c>
      <x:c r="I610" s="4" t="str">
        <x:v>Check y against an independently written truth table. Combinational results must settle without a clock or stale retained values.</x:v>
      </x:c>
      <x:c r="J610" s="17"/>
      <x:c r="K610" s="24"/>
      <x:c r="L610" s="17"/>
      <x:c r="M610" s="17"/>
      <x:c r="N610" s="4" t="str">
        <x:v>SV Functional Coverage/Codes/20-reusable-covergroup-alu-use-case/design.sv</x:v>
      </x:c>
      <x:c r="O610" s="25" t="str">
        <x:v>https://github.com/kapiltrip/systemverilog-from-beginning/blob/318bd495dee245f946d7c72127cb698bcf6e6680/SV%20Functional%20Coverage/Codes/20-reusable-covergroup-alu-use-case/design.sv</x:v>
      </x:c>
      <x:c r="P610" s="4" t="str">
        <x:f>IF(B610="Done",IF(OR(J610="",K610="",L610=""),"Add run evidence","Recorded"),IF(OR(B610="Blocked",B610="N/A"),IF(M610="","Add reason","Reason recorded"),""))</x:f>
      </x:c>
      <x:c r="Q610" s="4" t="str">
        <x:v>318bd495dee245f946d7c72127cb698bcf6e6680</x:v>
      </x:c>
    </x:row>
    <x:row r="611" ht="86" customHeight="1">
      <x:c r="A611" s="15" t="str">
        <x:v>SV-033</x:v>
      </x:c>
      <x:c r="B611" s="19" t="str">
        <x:v>Pending</x:v>
      </x:c>
      <x:c r="C611" s="15" t="str">
        <x:v>P1</x:v>
      </x:c>
      <x:c r="D611" s="15" t="str">
        <x:v>systemverilog-from-beginning</x:v>
      </x:c>
      <x:c r="E611" s="15" t="str">
        <x:v>Combinational logic</x:v>
      </x:c>
      <x:c r="F611" s="15" t="str">
        <x:v>Input combinations and output mapping</x:v>
      </x:c>
      <x:c r="G611" s="15" t="str">
        <x:v>a, b, opcode, y</x:v>
      </x:c>
      <x:c r="H611" s="15" t="str">
        <x:v>Drive a, b, opcode through binary combinations when small; for vectors use zero, all ones, alternating bits and walking one/zero. Toggle one input at a time and include rapid changes after a previous nonzero result.</x:v>
      </x:c>
      <x:c r="I611" s="15" t="str">
        <x:v>Check y against an independently written truth table. Combinational results must settle without a clock or stale retained values.</x:v>
      </x:c>
      <x:c r="J611" s="17"/>
      <x:c r="K611" s="24"/>
      <x:c r="L611" s="17"/>
      <x:c r="M611" s="17"/>
      <x:c r="N611" s="15" t="str">
        <x:v>SV Functional Coverage/Codes/20-reusable-covergroup-alu-use-case/verified-design.sv</x:v>
      </x:c>
      <x:c r="O611" s="26" t="str">
        <x:v>https://github.com/kapiltrip/systemverilog-from-beginning/blob/318bd495dee245f946d7c72127cb698bcf6e6680/SV%20Functional%20Coverage/Codes/20-reusable-covergroup-alu-use-case/verified-design.sv</x:v>
      </x:c>
      <x:c r="P611" s="15" t="str">
        <x:f>IF(B611="Done",IF(OR(J611="",K611="",L611=""),"Add run evidence","Recorded"),IF(OR(B611="Blocked",B611="N/A"),IF(M611="","Add reason","Reason recorded"),""))</x:f>
      </x:c>
      <x:c r="Q611" s="15" t="str">
        <x:v>318bd495dee245f946d7c72127cb698bcf6e6680</x:v>
      </x:c>
    </x:row>
    <x:row r="612" ht="86" customHeight="1">
      <x:c r="A612" s="4" t="str">
        <x:v>SV-034</x:v>
      </x:c>
      <x:c r="B612" s="19" t="str">
        <x:v>Pending</x:v>
      </x:c>
      <x:c r="C612" s="4" t="str">
        <x:v>P1</x:v>
      </x:c>
      <x:c r="D612" s="4" t="str">
        <x:v>systemverilog-from-beginning</x:v>
      </x:c>
      <x:c r="E612" s="4" t="str">
        <x:v>Sequential logic</x:v>
      </x:c>
      <x:c r="F612" s="4" t="str">
        <x:v>Reset, control priority and cycle behavior</x:v>
      </x:c>
      <x:c r="G612" s="4" t="str">
        <x:v>clk, reset, d, d_out</x:v>
      </x:c>
      <x:c r="H612" s="4" t="str">
        <x:v>For two_state_fsm, initialize through its reset/load path, then vary d before active edges. Cover each control combination, holds, boundary transitions and reset during activity. Clock/reset events in this source: posedge clk, posedge reset.</x:v>
      </x:c>
      <x:c r="I612" s="4" t="str">
        <x:v>Check d_out only at its defined valid time. Compare a cycle-by-cycle reference state/sequence, including reset polarity and priority. Sample registered results after nonblocking updates; combinational Mealy outputs may require a pre-edge check.</x:v>
      </x:c>
      <x:c r="J612" s="17"/>
      <x:c r="K612" s="24"/>
      <x:c r="L612" s="17"/>
      <x:c r="M612" s="17"/>
      <x:c r="N612" s="4" t="str">
        <x:v>SV Functional Coverage/Codes/30-simple-transition-coverage-p1/design.sv</x:v>
      </x:c>
      <x:c r="O612" s="25" t="str">
        <x:v>https://github.com/kapiltrip/systemverilog-from-beginning/blob/318bd495dee245f946d7c72127cb698bcf6e6680/SV%20Functional%20Coverage/Codes/30-simple-transition-coverage-p1/design.sv</x:v>
      </x:c>
      <x:c r="P612" s="4" t="str">
        <x:f>IF(B612="Done",IF(OR(J612="",K612="",L612=""),"Add run evidence","Recorded"),IF(OR(B612="Blocked",B612="N/A"),IF(M612="","Add reason","Reason recorded"),""))</x:f>
      </x:c>
      <x:c r="Q612" s="4" t="str">
        <x:v>318bd495dee245f946d7c72127cb698bcf6e6680</x:v>
      </x:c>
    </x:row>
    <x:row r="613" ht="86" customHeight="1">
      <x:c r="A613" s="15" t="str">
        <x:v>SV-035</x:v>
      </x:c>
      <x:c r="B613" s="19" t="str">
        <x:v>Pending</x:v>
      </x:c>
      <x:c r="C613" s="15" t="str">
        <x:v>P1</x:v>
      </x:c>
      <x:c r="D613" s="15" t="str">
        <x:v>systemverilog-from-beginning</x:v>
      </x:c>
      <x:c r="E613" s="15" t="str">
        <x:v>Sequential logic</x:v>
      </x:c>
      <x:c r="F613" s="15" t="str">
        <x:v>Reset, control priority and cycle behavior</x:v>
      </x:c>
      <x:c r="G613" s="15" t="str">
        <x:v>clk, reset, d, d_out</x:v>
      </x:c>
      <x:c r="H613" s="15" t="str">
        <x:v>For two_state_fsm, initialize through its reset/load path, then vary d before active edges. Cover each control combination, holds, boundary transitions and reset during activity. Clock/reset events in this source: posedge clk, posedge reset.</x:v>
      </x:c>
      <x:c r="I613" s="15" t="str">
        <x:v>Check d_out only at its defined valid time. Compare a cycle-by-cycle reference state/sequence, including reset polarity and priority. Sample registered results after nonblocking updates; combinational Mealy outputs may require a pre-edge check.</x:v>
      </x:c>
      <x:c r="J613" s="17"/>
      <x:c r="K613" s="24"/>
      <x:c r="L613" s="17"/>
      <x:c r="M613" s="17"/>
      <x:c r="N613" s="15" t="str">
        <x:v>SV Functional Coverage/Codes/31-simple-transition-coverage-p2/design.sv</x:v>
      </x:c>
      <x:c r="O613" s="26" t="str">
        <x:v>https://github.com/kapiltrip/systemverilog-from-beginning/blob/318bd495dee245f946d7c72127cb698bcf6e6680/SV%20Functional%20Coverage/Codes/31-simple-transition-coverage-p2/design.sv</x:v>
      </x:c>
      <x:c r="P613" s="15" t="str">
        <x:f>IF(B613="Done",IF(OR(J613="",K613="",L613=""),"Add run evidence","Recorded"),IF(OR(B613="Blocked",B613="N/A"),IF(M613="","Add reason","Reason recorded"),""))</x:f>
      </x:c>
      <x:c r="Q613" s="15" t="str">
        <x:v>318bd495dee245f946d7c72127cb698bcf6e6680</x:v>
      </x:c>
    </x:row>
    <x:row r="614" ht="86" customHeight="1">
      <x:c r="A614" s="4" t="str">
        <x:v>SV-036</x:v>
      </x:c>
      <x:c r="B614" s="19" t="str">
        <x:v>Pending</x:v>
      </x:c>
      <x:c r="C614" s="4" t="str">
        <x:v>P1</x:v>
      </x:c>
      <x:c r="D614" s="4" t="str">
        <x:v>systemverilog-from-beginning</x:v>
      </x:c>
      <x:c r="E614" s="4" t="str">
        <x:v>Multiplexer</x:v>
      </x:c>
      <x:c r="F614" s="4" t="str">
        <x:v>Every select and unselected-input isolation</x:v>
      </x:c>
      <x:c r="G614" s="4" t="str">
        <x:v>a, b, c, d, e, f, g, h, sel, y</x:v>
      </x:c>
      <x:c r="H614" s="4" t="str">
        <x:v>Sweep sel through all encodings; set data inputs to distinguishable patterns, then toggle only unselected inputs.</x:v>
      </x:c>
      <x:c r="I614" s="4" t="str">
        <x:v>y equals the selected input. Exercise selected values 0 and 1 and vector extremes. Unselected changes do not affect the result; verify the default mapping for unused encodings.</x:v>
      </x:c>
      <x:c r="J614" s="17"/>
      <x:c r="K614" s="24"/>
      <x:c r="L614" s="17"/>
      <x:c r="M614" s="17"/>
      <x:c r="N614" s="4" t="str">
        <x:v>SV Functional Coverage/Projects/03-mux-8-to-1-functional-coverage/design.sv</x:v>
      </x:c>
      <x:c r="O614" s="25" t="str">
        <x:v>https://github.com/kapiltrip/systemverilog-from-beginning/blob/318bd495dee245f946d7c72127cb698bcf6e6680/SV%20Functional%20Coverage/Projects/03-mux-8-to-1-functional-coverage/design.sv</x:v>
      </x:c>
      <x:c r="P614" s="4" t="str">
        <x:f>IF(B614="Done",IF(OR(J614="",K614="",L614=""),"Add run evidence","Recorded"),IF(OR(B614="Blocked",B614="N/A"),IF(M614="","Add reason","Reason recorded"),""))</x:f>
      </x:c>
      <x:c r="Q614" s="4" t="str">
        <x:v>318bd495dee245f946d7c72127cb698bcf6e6680</x:v>
      </x:c>
    </x:row>
    <x:row r="615" ht="86" customHeight="1">
      <x:c r="A615" s="15" t="str">
        <x:v>SV-037</x:v>
      </x:c>
      <x:c r="B615" s="19" t="str">
        <x:v>Pending</x:v>
      </x:c>
      <x:c r="C615" s="15" t="str">
        <x:v>P1</x:v>
      </x:c>
      <x:c r="D615" s="15" t="str">
        <x:v>systemverilog-from-beginning</x:v>
      </x:c>
      <x:c r="E615" s="15" t="str">
        <x:v>Multiplexer</x:v>
      </x:c>
      <x:c r="F615" s="15" t="str">
        <x:v>Every select and unselected-input isolation</x:v>
      </x:c>
      <x:c r="G615" s="15" t="str">
        <x:v>data, select, y</x:v>
      </x:c>
      <x:c r="H615" s="15" t="str">
        <x:v>Sweep select through all encodings; set data inputs to distinguishable patterns, then toggle only unselected inputs.</x:v>
      </x:c>
      <x:c r="I615" s="15" t="str">
        <x:v>y equals the selected input. Exercise selected values 0 and 1 and vector extremes. Unselected changes do not affect the result; verify the default mapping for unused encodings.</x:v>
      </x:c>
      <x:c r="J615" s="17"/>
      <x:c r="K615" s="24"/>
      <x:c r="L615" s="17"/>
      <x:c r="M615" s="17"/>
      <x:c r="N615" s="15" t="str">
        <x:v>SV Functional Coverage/plates/section-10-projects/130-mux-8-to-1-p1/design.sv</x:v>
      </x:c>
      <x:c r="O615" s="26" t="str">
        <x:v>https://github.com/kapiltrip/systemverilog-from-beginning/blob/318bd495dee245f946d7c72127cb698bcf6e6680/SV%20Functional%20Coverage/plates/section-10-projects/130-mux-8-to-1-p1/design.sv</x:v>
      </x:c>
      <x:c r="P615" s="15" t="str">
        <x:f>IF(B615="Done",IF(OR(J615="",K615="",L615=""),"Add run evidence","Recorded"),IF(OR(B615="Blocked",B615="N/A"),IF(M615="","Add reason","Reason recorded"),""))</x:f>
      </x:c>
      <x:c r="Q615" s="15" t="str">
        <x:v>318bd495dee245f946d7c72127cb698bcf6e6680</x:v>
      </x:c>
    </x:row>
    <x:row r="616" ht="86" customHeight="1">
      <x:c r="A616" s="4" t="str">
        <x:v>SV-038</x:v>
      </x:c>
      <x:c r="B616" s="19" t="str">
        <x:v>Pending</x:v>
      </x:c>
      <x:c r="C616" s="4" t="str">
        <x:v>P1</x:v>
      </x:c>
      <x:c r="D616" s="4" t="str">
        <x:v>systemverilog-from-beginning</x:v>
      </x:c>
      <x:c r="E616" s="4" t="str">
        <x:v>Multiplexer</x:v>
      </x:c>
      <x:c r="F616" s="4" t="str">
        <x:v>Every select and unselected-input isolation</x:v>
      </x:c>
      <x:c r="G616" s="4" t="str">
        <x:v>data, select, y</x:v>
      </x:c>
      <x:c r="H616" s="4" t="str">
        <x:v>Sweep select through all encodings; set data inputs to distinguishable patterns, then toggle only unselected inputs.</x:v>
      </x:c>
      <x:c r="I616" s="4" t="str">
        <x:v>y equals the selected input. Exercise selected values 0 and 1 and vector extremes. Unselected changes do not affect the result; verify the default mapping for unused encodings.</x:v>
      </x:c>
      <x:c r="J616" s="17"/>
      <x:c r="K616" s="24"/>
      <x:c r="L616" s="17"/>
      <x:c r="M616" s="17"/>
      <x:c r="N616" s="4" t="str">
        <x:v>SV Functional Coverage/plates/section-10-projects/131-mux-8-to-1-p2/design.sv</x:v>
      </x:c>
      <x:c r="O616" s="25" t="str">
        <x:v>https://github.com/kapiltrip/systemverilog-from-beginning/blob/318bd495dee245f946d7c72127cb698bcf6e6680/SV%20Functional%20Coverage/plates/section-10-projects/131-mux-8-to-1-p2/design.sv</x:v>
      </x:c>
      <x:c r="P616" s="4" t="str">
        <x:f>IF(B616="Done",IF(OR(J616="",K616="",L616=""),"Add run evidence","Recorded"),IF(OR(B616="Blocked",B616="N/A"),IF(M616="","Add reason","Reason recorded"),""))</x:f>
      </x:c>
      <x:c r="Q616" s="4" t="str">
        <x:v>318bd495dee245f946d7c72127cb698bcf6e6680</x:v>
      </x:c>
    </x:row>
    <x:row r="617" ht="86" customHeight="1">
      <x:c r="A617" s="15" t="str">
        <x:v>SV-039</x:v>
      </x:c>
      <x:c r="B617" s="19" t="str">
        <x:v>Pending</x:v>
      </x:c>
      <x:c r="C617" s="15" t="str">
        <x:v>P1</x:v>
      </x:c>
      <x:c r="D617" s="15" t="str">
        <x:v>systemverilog-from-beginning</x:v>
      </x:c>
      <x:c r="E617" s="15" t="str">
        <x:v>Multiplexer</x:v>
      </x:c>
      <x:c r="F617" s="15" t="str">
        <x:v>Every select and unselected-input isolation</x:v>
      </x:c>
      <x:c r="G617" s="15" t="str">
        <x:v>data, select, y</x:v>
      </x:c>
      <x:c r="H617" s="15" t="str">
        <x:v>Sweep select through all encodings; set data inputs to distinguishable patterns, then toggle only unselected inputs.</x:v>
      </x:c>
      <x:c r="I617" s="15" t="str">
        <x:v>y equals the selected input. Exercise selected values 0 and 1 and vector extremes. Unselected changes do not affect the result; verify the default mapping for unused encodings.</x:v>
      </x:c>
      <x:c r="J617" s="17"/>
      <x:c r="K617" s="24"/>
      <x:c r="L617" s="17"/>
      <x:c r="M617" s="17"/>
      <x:c r="N617" s="15" t="str">
        <x:v>SV Functional Coverage/plates/section-10-projects/132-mux-8-to-1-p3/design.sv</x:v>
      </x:c>
      <x:c r="O617" s="26" t="str">
        <x:v>https://github.com/kapiltrip/systemverilog-from-beginning/blob/318bd495dee245f946d7c72127cb698bcf6e6680/SV%20Functional%20Coverage/plates/section-10-projects/132-mux-8-to-1-p3/design.sv</x:v>
      </x:c>
      <x:c r="P617" s="15" t="str">
        <x:f>IF(B617="Done",IF(OR(J617="",K617="",L617=""),"Add run evidence","Recorded"),IF(OR(B617="Blocked",B617="N/A"),IF(M617="","Add reason","Reason recorded"),""))</x:f>
      </x:c>
      <x:c r="Q617" s="15" t="str">
        <x:v>318bd495dee245f946d7c72127cb698bcf6e6680</x:v>
      </x:c>
    </x:row>
    <x:row r="618" ht="86" customHeight="1">
      <x:c r="A618" s="4" t="str">
        <x:v>SV-040</x:v>
      </x:c>
      <x:c r="B618" s="19" t="str">
        <x:v>Pending</x:v>
      </x:c>
      <x:c r="C618" s="4" t="str">
        <x:v>P1</x:v>
      </x:c>
      <x:c r="D618" s="4" t="str">
        <x:v>systemverilog-from-beginning</x:v>
      </x:c>
      <x:c r="E618" s="4" t="str">
        <x:v>Priority encoder</x:v>
      </x:c>
      <x:c r="F618" s="4" t="str">
        <x:v>Every request, priorities and zero input</x:v>
      </x:c>
      <x:c r="G618" s="4" t="str">
        <x:v>request, code, valid</x:v>
      </x:c>
      <x:c r="H618" s="4" t="str">
        <x:v>Apply each one-hot bit to request, then adjacent pairs, all ones and all zeros; sweep small input spaces.</x:v>
      </x:c>
      <x:c r="I618" s="4" t="str">
        <x:v>code, valid identifies the source-defined highest/lowest-priority active input; verify the direction explicitly. Check any valid output, and treat a specified X/Z zero-input result separately from valid binary encoding.</x:v>
      </x:c>
      <x:c r="J618" s="17"/>
      <x:c r="K618" s="24"/>
      <x:c r="L618" s="17"/>
      <x:c r="M618" s="17"/>
      <x:c r="N618" s="4" t="str">
        <x:v>SV Functional Coverage/plates/section-10-projects/134-priority-encoder/design.sv</x:v>
      </x:c>
      <x:c r="O618" s="25" t="str">
        <x:v>https://github.com/kapiltrip/systemverilog-from-beginning/blob/318bd495dee245f946d7c72127cb698bcf6e6680/SV%20Functional%20Coverage/plates/section-10-projects/134-priority-encoder/design.sv</x:v>
      </x:c>
      <x:c r="P618" s="4" t="str">
        <x:f>IF(B618="Done",IF(OR(J618="",K618="",L618=""),"Add run evidence","Recorded"),IF(OR(B618="Blocked",B618="N/A"),IF(M618="","Add reason","Reason recorded"),""))</x:f>
      </x:c>
      <x:c r="Q618" s="4" t="str">
        <x:v>318bd495dee245f946d7c72127cb698bcf6e6680</x:v>
      </x:c>
    </x:row>
    <x:row r="619" ht="86" customHeight="1">
      <x:c r="A619" s="15" t="str">
        <x:v>SV-041</x:v>
      </x:c>
      <x:c r="B619" s="19" t="str">
        <x:v>Pending</x:v>
      </x:c>
      <x:c r="C619" s="15" t="str">
        <x:v>P1</x:v>
      </x:c>
      <x:c r="D619" s="15" t="str">
        <x:v>systemverilog-from-beginning</x:v>
      </x:c>
      <x:c r="E619" s="15" t="str">
        <x:v>Sequential logic</x:v>
      </x:c>
      <x:c r="F619" s="15" t="str">
        <x:v>Reset, control priority and cycle behavior</x:v>
      </x:c>
      <x:c r="G619" s="15" t="str">
        <x:v>clk, reset, write_enable, read_enable, data_in, data_out, full, empty</x:v>
      </x:c>
      <x:c r="H619" s="15" t="str">
        <x:v>For sync_fifo, initialize through its reset/load path, then vary write_enable, read_enable, data_in before active edges. Cover each control combination, holds, boundary transitions and reset during activity. Clock/reset events in this source: inspect the instantiated modules for clock edge and reset polarity.</x:v>
      </x:c>
      <x:c r="I619" s="15" t="str">
        <x:v>Check data_out, full, empty only at its defined valid time. Compare a cycle-by-cycle reference state/sequence, including reset polarity and priority. Sample registered results after nonblocking updates; combinational Mealy outputs may require a pre-edge check. Source mapping: data_out = '0; full = 1'b0; empty = 1'b1.</x:v>
      </x:c>
      <x:c r="J619" s="17"/>
      <x:c r="K619" s="24"/>
      <x:c r="L619" s="17"/>
      <x:c r="M619" s="17"/>
      <x:c r="N619" s="15" t="str">
        <x:v>SV Functional Coverage/plates/section-10-projects/136-fifo-p1/design.sv</x:v>
      </x:c>
      <x:c r="O619" s="26" t="str">
        <x:v>https://github.com/kapiltrip/systemverilog-from-beginning/blob/318bd495dee245f946d7c72127cb698bcf6e6680/SV%20Functional%20Coverage/plates/section-10-projects/136-fifo-p1/design.sv</x:v>
      </x:c>
      <x:c r="P619" s="15" t="str">
        <x:f>IF(B619="Done",IF(OR(J619="",K619="",L619=""),"Add run evidence","Recorded"),IF(OR(B619="Blocked",B619="N/A"),IF(M619="","Add reason","Reason recorded"),""))</x:f>
      </x:c>
      <x:c r="Q619" s="15" t="str">
        <x:v>318bd495dee245f946d7c72127cb698bcf6e6680</x:v>
      </x:c>
    </x:row>
    <x:row r="620" ht="86" customHeight="1">
      <x:c r="A620" s="4" t="str">
        <x:v>SV-042</x:v>
      </x:c>
      <x:c r="B620" s="19" t="str">
        <x:v>Pending</x:v>
      </x:c>
      <x:c r="C620" s="4" t="str">
        <x:v>P1</x:v>
      </x:c>
      <x:c r="D620" s="4" t="str">
        <x:v>systemverilog-from-beginning</x:v>
      </x:c>
      <x:c r="E620" s="4" t="str">
        <x:v>Sequential logic</x:v>
      </x:c>
      <x:c r="F620" s="4" t="str">
        <x:v>Reset, control priority and cycle behavior</x:v>
      </x:c>
      <x:c r="G620" s="4" t="str">
        <x:v>clk, reset, write_enable, read_enable, data_in, data_out, full, empty</x:v>
      </x:c>
      <x:c r="H620" s="4" t="str">
        <x:v>For sync_fifo, initialize through its reset/load path, then vary write_enable, read_enable, data_in before active edges. Cover each control combination, holds, boundary transitions and reset during activity. Clock/reset events in this source: posedge clk.</x:v>
      </x:c>
      <x:c r="I620" s="4" t="str">
        <x:v>Check data_out, full, empty only at its defined valid time. Compare a cycle-by-cycle reference state/sequence, including reset polarity and priority. Sample registered results after nonblocking updates; combinational Mealy outputs may require a pre-edge check. Source mapping: full = (count == DEPTH); empty = (count == 0).</x:v>
      </x:c>
      <x:c r="J620" s="17"/>
      <x:c r="K620" s="24"/>
      <x:c r="L620" s="17"/>
      <x:c r="M620" s="17"/>
      <x:c r="N620" s="4" t="str">
        <x:v>SV Functional Coverage/plates/section-10-projects/137-fifo-p2/design.sv</x:v>
      </x:c>
      <x:c r="O620" s="25" t="str">
        <x:v>https://github.com/kapiltrip/systemverilog-from-beginning/blob/318bd495dee245f946d7c72127cb698bcf6e6680/SV%20Functional%20Coverage/plates/section-10-projects/137-fifo-p2/design.sv</x:v>
      </x:c>
      <x:c r="P620" s="4" t="str">
        <x:f>IF(B620="Done",IF(OR(J620="",K620="",L620=""),"Add run evidence","Recorded"),IF(OR(B620="Blocked",B620="N/A"),IF(M620="","Add reason","Reason recorded"),""))</x:f>
      </x:c>
      <x:c r="Q620" s="4" t="str">
        <x:v>318bd495dee245f946d7c72127cb698bcf6e6680</x:v>
      </x:c>
    </x:row>
    <x:row r="621" ht="86" customHeight="1">
      <x:c r="A621" s="15" t="str">
        <x:v>SV-043</x:v>
      </x:c>
      <x:c r="B621" s="19" t="str">
        <x:v>Pending</x:v>
      </x:c>
      <x:c r="C621" s="15" t="str">
        <x:v>P1</x:v>
      </x:c>
      <x:c r="D621" s="15" t="str">
        <x:v>systemverilog-from-beginning</x:v>
      </x:c>
      <x:c r="E621" s="15" t="str">
        <x:v>Sequential logic</x:v>
      </x:c>
      <x:c r="F621" s="15" t="str">
        <x:v>Reset, control priority and cycle behavior</x:v>
      </x:c>
      <x:c r="G621" s="15" t="str">
        <x:v>clk, reset, write_enable, read_enable, data_in, data_out, full, empty</x:v>
      </x:c>
      <x:c r="H621" s="15" t="str">
        <x:v>For sync_fifo, initialize through its reset/load path, then vary write_enable, read_enable, data_in before active edges. Cover each control combination, holds, boundary transitions and reset during activity. Clock/reset events in this source: posedge clk.</x:v>
      </x:c>
      <x:c r="I621" s="15" t="str">
        <x:v>Check data_out, full, empty only at its defined valid time. Compare a cycle-by-cycle reference state/sequence, including reset polarity and priority. Sample registered results after nonblocking updates; combinational Mealy outputs may require a pre-edge check. Source mapping: full = (count == DEPTH); empty = (count == 0).</x:v>
      </x:c>
      <x:c r="J621" s="17"/>
      <x:c r="K621" s="24"/>
      <x:c r="L621" s="17"/>
      <x:c r="M621" s="17"/>
      <x:c r="N621" s="15" t="str">
        <x:v>SV Functional Coverage/plates/section-10-projects/138-fifo-p3/design.sv</x:v>
      </x:c>
      <x:c r="O621" s="26" t="str">
        <x:v>https://github.com/kapiltrip/systemverilog-from-beginning/blob/318bd495dee245f946d7c72127cb698bcf6e6680/SV%20Functional%20Coverage/plates/section-10-projects/138-fifo-p3/design.sv</x:v>
      </x:c>
      <x:c r="P621" s="15" t="str">
        <x:f>IF(B621="Done",IF(OR(J621="",K621="",L621=""),"Add run evidence","Recorded"),IF(OR(B621="Blocked",B621="N/A"),IF(M621="","Add reason","Reason recorded"),""))</x:f>
      </x:c>
      <x:c r="Q621" s="15" t="str">
        <x:v>318bd495dee245f946d7c72127cb698bcf6e6680</x:v>
      </x:c>
    </x:row>
    <x:row r="622" ht="86" customHeight="1">
      <x:c r="A622" s="4" t="str">
        <x:v>SV-044</x:v>
      </x:c>
      <x:c r="B622" s="19" t="str">
        <x:v>Pending</x:v>
      </x:c>
      <x:c r="C622" s="4" t="str">
        <x:v>P1</x:v>
      </x:c>
      <x:c r="D622" s="4" t="str">
        <x:v>systemverilog-from-beginning</x:v>
      </x:c>
      <x:c r="E622" s="4" t="str">
        <x:v>Sequential logic</x:v>
      </x:c>
      <x:c r="F622" s="4" t="str">
        <x:v>Reset, control priority and cycle behavior</x:v>
      </x:c>
      <x:c r="G622" s="4" t="str">
        <x:v>clk, reset, start, state, busy</x:v>
      </x:c>
      <x:c r="H622" s="4" t="str">
        <x:v>For spi_controller, initialize through its reset/load path, then vary start before active edges. Cover each control combination, holds, boundary transitions and reset during activity. Clock/reset events in this source: posedge clk.</x:v>
      </x:c>
      <x:c r="I622" s="4" t="str">
        <x:v>Check state, busy only at its defined valid time. Compare a cycle-by-cycle reference state/sequence, including reset polarity and priority. Sample registered results after nonblocking updates; combinational Mealy outputs may require a pre-edge check. Source mapping: busy = (state != IDLE).</x:v>
      </x:c>
      <x:c r="J622" s="17"/>
      <x:c r="K622" s="24"/>
      <x:c r="L622" s="17"/>
      <x:c r="M622" s="17"/>
      <x:c r="N622" s="4" t="str">
        <x:v>SV Functional Coverage/plates/section-10-projects/140-spi-transition-bins/design.sv</x:v>
      </x:c>
      <x:c r="O622" s="25" t="str">
        <x:v>https://github.com/kapiltrip/systemverilog-from-beginning/blob/318bd495dee245f946d7c72127cb698bcf6e6680/SV%20Functional%20Coverage/plates/section-10-projects/140-spi-transition-bins/design.sv</x:v>
      </x:c>
      <x:c r="P622" s="4" t="str">
        <x:f>IF(B622="Done",IF(OR(J622="",K622="",L622=""),"Add run evidence","Recorded"),IF(OR(B622="Blocked",B622="N/A"),IF(M622="","Add reason","Reason recorded"),""))</x:f>
      </x:c>
      <x:c r="Q622" s="4" t="str">
        <x:v>318bd495dee245f946d7c72127cb698bcf6e6680</x:v>
      </x:c>
    </x:row>
    <x:row r="623" ht="86" customHeight="1">
      <x:c r="A623" s="15" t="str">
        <x:v>SV-045</x:v>
      </x:c>
      <x:c r="B623" s="19" t="str">
        <x:v>Pending</x:v>
      </x:c>
      <x:c r="C623" s="15" t="str">
        <x:v>P1</x:v>
      </x:c>
      <x:c r="D623" s="15" t="str">
        <x:v>systemverilog-from-beginning</x:v>
      </x:c>
      <x:c r="E623" s="15" t="str">
        <x:v>Counter</x:v>
      </x:c>
      <x:c r="F623" s="15" t="str">
        <x:v>Reset, rollover and control priority</x:v>
      </x:c>
      <x:c r="G623" s="15" t="str">
        <x:v>clk, reset, enable, load, load_value, count</x:v>
      </x:c>
      <x:c r="H623" s="15" t="str">
        <x:v>Initialize counter; test every enable/load/direction combination in clk, reset, enable, load, load_value. Run past both wrap boundaries and reassert reset away from and on active clock edges.</x:v>
      </x:c>
      <x:c r="I623" s="15" t="str">
        <x:v>count follows the stated binary/BCD/modulo range and reset value. Count accepted enabled edges only, verify hold when specified, and check load versus count priority. A source without enable free-runs.</x:v>
      </x:c>
      <x:c r="J623" s="17"/>
      <x:c r="K623" s="24"/>
      <x:c r="L623" s="17"/>
      <x:c r="M623" s="17"/>
      <x:c r="N623" s="15" t="str">
        <x:v>SV Functional Coverage/plates/section-10-projects/142-counter-p1/design.sv</x:v>
      </x:c>
      <x:c r="O623" s="26" t="str">
        <x:v>https://github.com/kapiltrip/systemverilog-from-beginning/blob/318bd495dee245f946d7c72127cb698bcf6e6680/SV%20Functional%20Coverage/plates/section-10-projects/142-counter-p1/design.sv</x:v>
      </x:c>
      <x:c r="P623" s="15" t="str">
        <x:f>IF(B623="Done",IF(OR(J623="",K623="",L623=""),"Add run evidence","Recorded"),IF(OR(B623="Blocked",B623="N/A"),IF(M623="","Add reason","Reason recorded"),""))</x:f>
      </x:c>
      <x:c r="Q623" s="15" t="str">
        <x:v>318bd495dee245f946d7c72127cb698bcf6e6680</x:v>
      </x:c>
    </x:row>
    <x:row r="624" ht="86" customHeight="1">
      <x:c r="A624" s="4" t="str">
        <x:v>SV-046</x:v>
      </x:c>
      <x:c r="B624" s="19" t="str">
        <x:v>Pending</x:v>
      </x:c>
      <x:c r="C624" s="4" t="str">
        <x:v>P1</x:v>
      </x:c>
      <x:c r="D624" s="4" t="str">
        <x:v>systemverilog-from-beginning</x:v>
      </x:c>
      <x:c r="E624" s="4" t="str">
        <x:v>Counter</x:v>
      </x:c>
      <x:c r="F624" s="4" t="str">
        <x:v>Reset, rollover and control priority</x:v>
      </x:c>
      <x:c r="G624" s="4" t="str">
        <x:v>clk, reset, enable, load, load_value, count</x:v>
      </x:c>
      <x:c r="H624" s="4" t="str">
        <x:v>Initialize counter; test every enable/load/direction combination in clk, reset, enable, load, load_value. Run past both wrap boundaries and reassert reset away from and on active clock edges.</x:v>
      </x:c>
      <x:c r="I624" s="4" t="str">
        <x:v>count follows the stated binary/BCD/modulo range and reset value. Count accepted enabled edges only, verify hold when specified, and check load versus count priority. A source without enable free-runs.</x:v>
      </x:c>
      <x:c r="J624" s="17"/>
      <x:c r="K624" s="24"/>
      <x:c r="L624" s="17"/>
      <x:c r="M624" s="17"/>
      <x:c r="N624" s="4" t="str">
        <x:v>SV Functional Coverage/plates/section-10-projects/143-counter-p2/design.sv</x:v>
      </x:c>
      <x:c r="O624" s="25" t="str">
        <x:v>https://github.com/kapiltrip/systemverilog-from-beginning/blob/318bd495dee245f946d7c72127cb698bcf6e6680/SV%20Functional%20Coverage/plates/section-10-projects/143-counter-p2/design.sv</x:v>
      </x:c>
      <x:c r="P624" s="4" t="str">
        <x:f>IF(B624="Done",IF(OR(J624="",K624="",L624=""),"Add run evidence","Recorded"),IF(OR(B624="Blocked",B624="N/A"),IF(M624="","Add reason","Reason recorded"),""))</x:f>
      </x:c>
      <x:c r="Q624" s="4" t="str">
        <x:v>318bd495dee245f946d7c72127cb698bcf6e6680</x:v>
      </x:c>
    </x:row>
    <x:row r="625" ht="86" customHeight="1">
      <x:c r="A625" s="15" t="str">
        <x:v>SV-047</x:v>
      </x:c>
      <x:c r="B625" s="19" t="str">
        <x:v>Pending</x:v>
      </x:c>
      <x:c r="C625" s="15" t="str">
        <x:v>P1</x:v>
      </x:c>
      <x:c r="D625" s="15" t="str">
        <x:v>systemverilog-from-beginning</x:v>
      </x:c>
      <x:c r="E625" s="15" t="str">
        <x:v>Counter</x:v>
      </x:c>
      <x:c r="F625" s="15" t="str">
        <x:v>Reset, rollover and control priority</x:v>
      </x:c>
      <x:c r="G625" s="15" t="str">
        <x:v>clk, reset, enable, load, load_value, count</x:v>
      </x:c>
      <x:c r="H625" s="15" t="str">
        <x:v>Initialize counter; test every enable/load/direction combination in clk, reset, enable, load, load_value. Run past both wrap boundaries and reassert reset away from and on active clock edges.</x:v>
      </x:c>
      <x:c r="I625" s="15" t="str">
        <x:v>count follows the stated binary/BCD/modulo range and reset value. Count accepted enabled edges only, verify hold when specified, and check load versus count priority. A source without enable free-runs.</x:v>
      </x:c>
      <x:c r="J625" s="17"/>
      <x:c r="K625" s="24"/>
      <x:c r="L625" s="17"/>
      <x:c r="M625" s="17"/>
      <x:c r="N625" s="15" t="str">
        <x:v>SV Functional Coverage/plates/section-10-projects/144-counter-p3/design.sv</x:v>
      </x:c>
      <x:c r="O625" s="26" t="str">
        <x:v>https://github.com/kapiltrip/systemverilog-from-beginning/blob/318bd495dee245f946d7c72127cb698bcf6e6680/SV%20Functional%20Coverage/plates/section-10-projects/144-counter-p3/design.sv</x:v>
      </x:c>
      <x:c r="P625" s="15" t="str">
        <x:f>IF(B625="Done",IF(OR(J625="",K625="",L625=""),"Add run evidence","Recorded"),IF(OR(B625="Blocked",B625="N/A"),IF(M625="","Add reason","Reason recorded"),""))</x:f>
      </x:c>
      <x:c r="Q625" s="15" t="str">
        <x:v>318bd495dee245f946d7c72127cb698bcf6e6680</x:v>
      </x:c>
    </x:row>
    <x:row r="626" ht="86" customHeight="1">
      <x:c r="A626" s="4" t="str">
        <x:v>RA-038</x:v>
      </x:c>
      <x:c r="B626" s="23" t="str">
        <x:v>Blocked</x:v>
      </x:c>
      <x:c r="C626" s="20" t="str">
        <x:v>P0</x:v>
      </x:c>
      <x:c r="D626" s="4" t="str">
        <x:v>RevisionAtlas</x:v>
      </x:c>
      <x:c r="E626" s="4" t="str">
        <x:v>Implementation prerequisite</x:v>
      </x:c>
      <x:c r="F626" s="4" t="str">
        <x:v>Define and implement fifo</x:v>
      </x:c>
      <x:c r="G626" s="4" t="str">
        <x:v>No complete module interface</x:v>
      </x:c>
      <x:c r="H626" s="4" t="str">
        <x:v>Complete the existing module/interface and write the intended port-level contract before attempting functional vectors. This plan does not implement it.</x:v>
      </x:c>
      <x:c r="I626" s="4" t="str">
        <x:v>A named module elaborates with driven outputs and a defined function. Current source is empty or malformed, so functional pass criteria cannot be inferred safely.</x:v>
      </x:c>
      <x:c r="J626" s="17"/>
      <x:c r="K626" s="24"/>
      <x:c r="L626" s="17"/>
      <x:c r="M626" s="17" t="str">
        <x:v>Existing stub; not a passing design.</x:v>
      </x:c>
      <x:c r="N626" s="4" t="str">
        <x:v>FIFO/src/fifo.v</x:v>
      </x:c>
      <x:c r="O626" s="25" t="str">
        <x:v>https://github.com/kapiltrip/RevisionAtlas/blob/2f827008d725333643a78e6c31935ab24cb4e6b7/FIFO/src/fifo.v</x:v>
      </x:c>
      <x:c r="P626" s="4" t="str">
        <x:f>IF(B626="Done",IF(OR(J626="",K626="",L626=""),"Add run evidence","Recorded"),IF(OR(B626="Blocked",B626="N/A"),IF(M626="","Add reason","Reason recorded"),""))</x:f>
        <x:v>Reason recorded</x:v>
      </x:c>
      <x:c r="Q626" s="4" t="str">
        <x:v>2f827008d725333643a78e6c31935ab24cb4e6b7</x:v>
      </x:c>
    </x:row>
    <x:row r="627" ht="86" customHeight="1">
      <x:c r="A627" s="15" t="str">
        <x:v>RA-039</x:v>
      </x:c>
      <x:c r="B627" s="23" t="str">
        <x:v>Blocked</x:v>
      </x:c>
      <x:c r="C627" s="21" t="str">
        <x:v>P0</x:v>
      </x:c>
      <x:c r="D627" s="15" t="str">
        <x:v>RevisionAtlas</x:v>
      </x:c>
      <x:c r="E627" s="15" t="str">
        <x:v>Implementation prerequisite</x:v>
      </x:c>
      <x:c r="F627" s="15" t="str">
        <x:v>Define and implement ram</x:v>
      </x:c>
      <x:c r="G627" s="15" t="str">
        <x:v>No complete module interface</x:v>
      </x:c>
      <x:c r="H627" s="15" t="str">
        <x:v>Complete the existing module/interface and write the intended port-level contract before attempting functional vectors. This plan does not implement it.</x:v>
      </x:c>
      <x:c r="I627" s="15" t="str">
        <x:v>A named module elaborates with driven outputs and a defined function. Current source is empty or malformed, so functional pass criteria cannot be inferred safely.</x:v>
      </x:c>
      <x:c r="J627" s="17"/>
      <x:c r="K627" s="24"/>
      <x:c r="L627" s="17"/>
      <x:c r="M627" s="17" t="str">
        <x:v>Existing stub; not a passing design.</x:v>
      </x:c>
      <x:c r="N627" s="15" t="str">
        <x:v>FIFO/vivado/fifo_vivado/fifo_vivado.srcs/sources_1/new/ram.v</x:v>
      </x:c>
      <x:c r="O627" s="26" t="str">
        <x:v>https://github.com/kapiltrip/RevisionAtlas/blob/2f827008d725333643a78e6c31935ab24cb4e6b7/FIFO/vivado/fifo_vivado/fifo_vivado.srcs/sources_1/new/ram.v</x:v>
      </x:c>
      <x:c r="P627" s="15" t="str">
        <x:f>IF(B627="Done",IF(OR(J627="",K627="",L627=""),"Add run evidence","Recorded"),IF(OR(B627="Blocked",B627="N/A"),IF(M627="","Add reason","Reason recorded"),""))</x:f>
        <x:v>Reason recorded</x:v>
      </x:c>
      <x:c r="Q627" s="15" t="str">
        <x:v>2f827008d725333643a78e6c31935ab24cb4e6b7</x:v>
      </x:c>
    </x:row>
    <x:row r="628" ht="86" customHeight="1">
      <x:c r="A628" s="4" t="str">
        <x:v>RA-040</x:v>
      </x:c>
      <x:c r="B628" s="19" t="str">
        <x:v>Pending</x:v>
      </x:c>
      <x:c r="C628" s="4" t="str">
        <x:v>P1</x:v>
      </x:c>
      <x:c r="D628" s="4" t="str">
        <x:v>RevisionAtlas</x:v>
      </x:c>
      <x:c r="E628" s="4" t="str">
        <x:v>Counter</x:v>
      </x:c>
      <x:c r="F628" s="4" t="str">
        <x:v>Reset, rollover and control priority</x:v>
      </x:c>
      <x:c r="G628" s="4" t="str">
        <x:v>clk, rst, count</x:v>
      </x:c>
      <x:c r="H628" s="4" t="str">
        <x:v>Initialize counter_75_98; test every enable/load/direction combination in clk, rst. Run past both wrap boundaries and reassert reset away from and on active clock edges.</x:v>
      </x:c>
      <x:c r="I628" s="4" t="str">
        <x:v>count follows the stated binary/BCD/modulo range and reset value. Count accepted enabled edges only, verify hold when specified, and check load versus count priority. A source without enable free-runs. Source mapping: count = state ? 7'd98 : 7'd75.</x:v>
      </x:c>
      <x:c r="J628" s="17"/>
      <x:c r="K628" s="24"/>
      <x:c r="L628" s="17"/>
      <x:c r="M628" s="17"/>
      <x:c r="N628" s="4" t="str">
        <x:v>Frequency Dividers/examples/counter_75_98.v</x:v>
      </x:c>
      <x:c r="O628" s="25" t="str">
        <x:v>https://github.com/kapiltrip/RevisionAtlas/blob/2f827008d725333643a78e6c31935ab24cb4e6b7/Frequency%20Dividers/examples/counter_75_98.v</x:v>
      </x:c>
      <x:c r="P628" s="4" t="str">
        <x:f>IF(B628="Done",IF(OR(J628="",K628="",L628=""),"Add run evidence","Recorded"),IF(OR(B628="Blocked",B628="N/A"),IF(M628="","Add reason","Reason recorded"),""))</x:f>
      </x:c>
      <x:c r="Q628" s="4" t="str">
        <x:v>2f827008d725333643a78e6c31935ab24cb4e6b7</x:v>
      </x:c>
    </x:row>
    <x:row r="629" ht="86" customHeight="1">
      <x:c r="A629" s="15" t="str">
        <x:v>RA-041</x:v>
      </x:c>
      <x:c r="B629" s="19" t="str">
        <x:v>Pending</x:v>
      </x:c>
      <x:c r="C629" s="15" t="str">
        <x:v>P1</x:v>
      </x:c>
      <x:c r="D629" s="15" t="str">
        <x:v>RevisionAtlas</x:v>
      </x:c>
      <x:c r="E629" s="15" t="str">
        <x:v>Clock divider</x:v>
      </x:c>
      <x:c r="F629" s="15" t="str">
        <x:v>Frequency, duty cycle and startup</x:v>
      </x:c>
      <x:c r="G629" s="15" t="str">
        <x:v>clk_fast, reset, clk_out</x:v>
      </x:c>
      <x:c r="H629" s="15" t="str">
        <x:v>Use a known 50% input clock through clk_fast, reset; measure steady output period and high time for ten cycles, then reset during both phases and test legal parameter endpoints.</x:v>
      </x:c>
      <x:c r="I629" s="15" t="str">
        <x:v>Measure clk_out against the named divide ratio and duty setting. Include both edges for half-cycle implementations. Distinguish a one-cycle enable pulse from a square clock; ignore documented startup transients only. Source mapping: clk_out = reset ? 1'b0 : (count &lt; HIGH_COUNTS).</x:v>
      </x:c>
      <x:c r="J629" s="17"/>
      <x:c r="K629" s="24"/>
      <x:c r="L629" s="17"/>
      <x:c r="M629" s="17"/>
      <x:c r="N629" s="15" t="str">
        <x:v>Programmable Frequency Divider/src/custom_duty_divider.v</x:v>
      </x:c>
      <x:c r="O629" s="26" t="str">
        <x:v>https://github.com/kapiltrip/RevisionAtlas/blob/2f827008d725333643a78e6c31935ab24cb4e6b7/Programmable%20Frequency%20Divider/src/custom_duty_divider.v</x:v>
      </x:c>
      <x:c r="P629" s="15" t="str">
        <x:f>IF(B629="Done",IF(OR(J629="",K629="",L629=""),"Add run evidence","Recorded"),IF(OR(B629="Blocked",B629="N/A"),IF(M629="","Add reason","Reason recorded"),""))</x:f>
      </x:c>
      <x:c r="Q629" s="15" t="str">
        <x:v>2f827008d725333643a78e6c31935ab24cb4e6b7</x:v>
      </x:c>
    </x:row>
    <x:row r="630" ht="96" customHeight="1">
      <x:c r="A630" s="4" t="str">
        <x:v>RA-042</x:v>
      </x:c>
      <x:c r="B630" s="19" t="str">
        <x:v>Pending</x:v>
      </x:c>
      <x:c r="C630" s="4" t="str">
        <x:v>P1</x:v>
      </x:c>
      <x:c r="D630" s="4" t="str">
        <x:v>RevisionAtlas</x:v>
      </x:c>
      <x:c r="E630" s="4" t="str">
        <x:v>Clock divider</x:v>
      </x:c>
      <x:c r="F630" s="4" t="str">
        <x:v>Frequency, duty cycle and startup</x:v>
      </x:c>
      <x:c r="G630" s="4" t="str">
        <x:v>clk, reset, clk_out_25, clk_out_50, clk_out_75</x:v>
      </x:c>
      <x:c r="H630" s="4" t="str">
        <x:v>Use a known 50% input clock through clk, reset; measure steady output period and high time for ten cycles, then reset during both phases and test legal parameter endpoints.</x:v>
      </x:c>
      <x:c r="I630" s="4" t="str">
        <x:v>Measure clk_out_25, clk_out_50, clk_out_75 against the named divide ratio and duty setting. Include both edges for half-cycle implementations. Distinguish a one-cycle enable pulse from a square clock; ignore documented startup transients only. Source mapping: clk_out_25 = reset ? 1'b0 : posphase &amp; ~negphase; clk_out_50 = reset ? 1'b0 : posphase; clk_out_75 = reset ? 1'b0 : posphase | negphase.</x:v>
      </x:c>
      <x:c r="J630" s="17"/>
      <x:c r="K630" s="24"/>
      <x:c r="L630" s="17"/>
      <x:c r="M630" s="17"/>
      <x:c r="N630" s="4" t="str">
        <x:v>Programmable Frequency Divider/src/divide_by_2.v</x:v>
      </x:c>
      <x:c r="O630" s="25" t="str">
        <x:v>https://github.com/kapiltrip/RevisionAtlas/blob/2f827008d725333643a78e6c31935ab24cb4e6b7/Programmable%20Frequency%20Divider/src/divide_by_2.v</x:v>
      </x:c>
      <x:c r="P630" s="4" t="str">
        <x:f>IF(B630="Done",IF(OR(J630="",K630="",L630=""),"Add run evidence","Recorded"),IF(OR(B630="Blocked",B630="N/A"),IF(M630="","Add reason","Reason recorded"),""))</x:f>
      </x:c>
      <x:c r="Q630" s="4" t="str">
        <x:v>2f827008d725333643a78e6c31935ab24cb4e6b7</x:v>
      </x:c>
    </x:row>
    <x:row r="631" ht="138" customHeight="1">
      <x:c r="A631" s="15" t="str">
        <x:v>RA-043</x:v>
      </x:c>
      <x:c r="B631" s="19" t="str">
        <x:v>Pending</x:v>
      </x:c>
      <x:c r="C631" s="15" t="str">
        <x:v>P1</x:v>
      </x:c>
      <x:c r="D631" s="15" t="str">
        <x:v>RevisionAtlas</x:v>
      </x:c>
      <x:c r="E631" s="15" t="str">
        <x:v>Clock divider</x:v>
      </x:c>
      <x:c r="F631" s="15" t="str">
        <x:v>Frequency, duty cycle and startup</x:v>
      </x:c>
      <x:c r="G631" s="15" t="str">
        <x:v>clk, reset, clk_out_16_67, clk_out_33_33, clk_out_50, clk_out_66_67, clk_out_83_33</x:v>
      </x:c>
      <x:c r="H631" s="15" t="str">
        <x:v>Use a known 50% input clock through clk, reset; measure steady output period and high time for ten cycles, then reset during both phases and test legal parameter endpoints.</x:v>
      </x:c>
      <x:c r="I631" s="15" t="str">
        <x:v>Measure clk_out_16_67, clk_out_33_33, clk_out_50, clk_out_66_67, clk_out_83_33 against the named divide ratio and duty setting. Include both edges for half-cycle implementations. Distinguish a one-cycle enable pulse from a square clock; ignore documented startup transients only. Source mapping: clk_out_16_67 = reset ? 1'b0 : one_cycle_posphase &amp; ~one_cycle_negphase; clk_out_33_33 = reset ? 1'b0 : one_cycle_posphase; clk_out_50 = reset ? 1'b0 : one_cycle_posphase | one_cycle_negphase; clk_out_66_67 = reset ? 1'b0 : two_cycles_posphase; clk_out_83_33 = reset ? 1'b0 : two_cycles_posphase | two_cycles_negphase.</x:v>
      </x:c>
      <x:c r="J631" s="17"/>
      <x:c r="K631" s="24"/>
      <x:c r="L631" s="17"/>
      <x:c r="M631" s="17"/>
      <x:c r="N631" s="15" t="str">
        <x:v>Programmable Frequency Divider/src/divide_by_3.v</x:v>
      </x:c>
      <x:c r="O631" s="26" t="str">
        <x:v>https://github.com/kapiltrip/RevisionAtlas/blob/2f827008d725333643a78e6c31935ab24cb4e6b7/Programmable%20Frequency%20Divider/src/divide_by_3.v</x:v>
      </x:c>
      <x:c r="P631" s="15" t="str">
        <x:f>IF(B631="Done",IF(OR(J631="",K631="",L631=""),"Add run evidence","Recorded"),IF(OR(B631="Blocked",B631="N/A"),IF(M631="","Add reason","Reason recorded"),""))</x:f>
      </x:c>
      <x:c r="Q631" s="15" t="str">
        <x:v>2f827008d725333643a78e6c31935ab24cb4e6b7</x:v>
      </x:c>
    </x:row>
    <x:row r="632" ht="166" customHeight="1">
      <x:c r="A632" s="4" t="str">
        <x:v>RA-044</x:v>
      </x:c>
      <x:c r="B632" s="19" t="str">
        <x:v>Pending</x:v>
      </x:c>
      <x:c r="C632" s="4" t="str">
        <x:v>P1</x:v>
      </x:c>
      <x:c r="D632" s="4" t="str">
        <x:v>RevisionAtlas</x:v>
      </x:c>
      <x:c r="E632" s="4" t="str">
        <x:v>Clock divider</x:v>
      </x:c>
      <x:c r="F632" s="4" t="str">
        <x:v>Frequency, duty cycle and startup</x:v>
      </x:c>
      <x:c r="G632" s="4" t="str">
        <x:v>clk, reset, clk_out_12_5, clk_out_25, clk_out_37_5, clk_out_50, clk_out_62_5, clk_out_75, clk_out_87_5</x:v>
      </x:c>
      <x:c r="H632" s="4" t="str">
        <x:v>Use a known 50% input clock through clk, reset; measure steady output period and high time for ten cycles, then reset during both phases and test legal parameter endpoints.</x:v>
      </x:c>
      <x:c r="I632" s="4" t="str">
        <x:v>Measure clk_out_12_5, clk_out_25, clk_out_37_5, clk_out_50, clk_out_62_5, clk_out_75, clk_out_87_5 against the named divide ratio and duty setting. Include both edges for half-cycle implementations. Distinguish a one-cycle enable pulse from a square clock; ignore documented startup transients only. Source mapping: clk_out_12_5 = reset ? 1'b0 : one_cycle_posphase &amp; ~one_cycle_negphase; clk_out_25 = reset ? 1'b0 : one_cycle_posphase; clk_out_37_5 = reset ? 1'b0 : one_cycle_posphase | one_cycle_negphase; clk_out_50 = reset ? 1'b0 : two_cycles_posphase; clk_out_62_5 = reset ? 1'b0 : two_cycles_posphase | two_cycles_negphase; clk_out_75 = reset ? 1'b0 : three_cycles_posphase; clk_out_87_5 = reset ? 1'b0 : three_cycles_posphase | three_cycles_negphase.</x:v>
      </x:c>
      <x:c r="J632" s="17"/>
      <x:c r="K632" s="24"/>
      <x:c r="L632" s="17"/>
      <x:c r="M632" s="17"/>
      <x:c r="N632" s="4" t="str">
        <x:v>Programmable Frequency Divider/src/divide_by_4.v</x:v>
      </x:c>
      <x:c r="O632" s="25" t="str">
        <x:v>https://github.com/kapiltrip/RevisionAtlas/blob/2f827008d725333643a78e6c31935ab24cb4e6b7/Programmable%20Frequency%20Divider/src/divide_by_4.v</x:v>
      </x:c>
      <x:c r="P632" s="4" t="str">
        <x:f>IF(B632="Done",IF(OR(J632="",K632="",L632=""),"Add run evidence","Recorded"),IF(OR(B632="Blocked",B632="N/A"),IF(M632="","Add reason","Reason recorded"),""))</x:f>
      </x:c>
      <x:c r="Q632" s="4" t="str">
        <x:v>2f827008d725333643a78e6c31935ab24cb4e6b7</x:v>
      </x:c>
    </x:row>
    <x:row r="633" ht="86" customHeight="1">
      <x:c r="A633" s="15" t="str">
        <x:v>RA-045</x:v>
      </x:c>
      <x:c r="B633" s="19" t="str">
        <x:v>Pending</x:v>
      </x:c>
      <x:c r="C633" s="15" t="str">
        <x:v>P1</x:v>
      </x:c>
      <x:c r="D633" s="15" t="str">
        <x:v>RevisionAtlas</x:v>
      </x:c>
      <x:c r="E633" s="15" t="str">
        <x:v>Clock divider</x:v>
      </x:c>
      <x:c r="F633" s="15" t="str">
        <x:v>Frequency, duty cycle and startup</x:v>
      </x:c>
      <x:c r="G633" s="15" t="str">
        <x:v>clk, reset, clk_out_10, clk_out_20, clk_out_30, clk_out_40, clk_out_50, clk_out_60, clk_out_70, clk_out_80, clk_out_90</x:v>
      </x:c>
      <x:c r="H633" s="15" t="str">
        <x:v>Use a known 50% input clock through clk, reset; measure steady output period and high time for ten cycles, then reset during both phases and test legal parameter endpoints.</x:v>
      </x:c>
      <x:c r="I633" s="15" t="str">
        <x:v>Measure clk_out_10, clk_out_20, clk_out_30, clk_out_40, clk_out_50, clk_out_60, clk_out_70, clk_out_80, clk_out_90 against the named divide ratio and duty setting. Include both edges for half-cycle implementations. Distinguish a one-cycle enable pulse from a square clock; ignore documented startup transients only.</x:v>
      </x:c>
      <x:c r="J633" s="17"/>
      <x:c r="K633" s="24"/>
      <x:c r="L633" s="17"/>
      <x:c r="M633" s="17"/>
      <x:c r="N633" s="15" t="str">
        <x:v>Programmable Frequency Divider/src/divide_by_5.v</x:v>
      </x:c>
      <x:c r="O633" s="26" t="str">
        <x:v>https://github.com/kapiltrip/RevisionAtlas/blob/2f827008d725333643a78e6c31935ab24cb4e6b7/Programmable%20Frequency%20Divider/src/divide_by_5.v</x:v>
      </x:c>
      <x:c r="P633" s="15" t="str">
        <x:f>IF(B633="Done",IF(OR(J633="",K633="",L633=""),"Add run evidence","Recorded"),IF(OR(B633="Blocked",B633="N/A"),IF(M633="","Add reason","Reason recorded"),""))</x:f>
      </x:c>
      <x:c r="Q633" s="15" t="str">
        <x:v>2f827008d725333643a78e6c31935ab24cb4e6b7</x:v>
      </x:c>
    </x:row>
    <x:row r="634" ht="86" customHeight="1">
      <x:c r="A634" s="4" t="str">
        <x:v>RA-046</x:v>
      </x:c>
      <x:c r="B634" s="19" t="str">
        <x:v>Pending</x:v>
      </x:c>
      <x:c r="C634" s="4" t="str">
        <x:v>P1</x:v>
      </x:c>
      <x:c r="D634" s="4" t="str">
        <x:v>RevisionAtlas</x:v>
      </x:c>
      <x:c r="E634" s="4" t="str">
        <x:v>Clock divider</x:v>
      </x:c>
      <x:c r="F634" s="4" t="str">
        <x:v>Frequency, duty cycle and startup</x:v>
      </x:c>
      <x:c r="G634" s="4" t="str">
        <x:v>clk_2x, reset, pulse_out</x:v>
      </x:c>
      <x:c r="H634" s="4" t="str">
        <x:v>Use a known 50% input clock through clk_2x, reset; measure steady output period and high time for ten cycles, then reset during both phases and test legal parameter endpoints.</x:v>
      </x:c>
      <x:c r="I634" s="4" t="str">
        <x:v>Measure pulse_out against the named divide ratio and duty setting. Include both edges for half-cycle implementations. Distinguish a one-cycle enable pulse from a square clock; ignore documented startup transients only. Source mapping: pulse_out = reset ? 1'b0 : (count == 0).</x:v>
      </x:c>
      <x:c r="J634" s="17"/>
      <x:c r="K634" s="24"/>
      <x:c r="L634" s="17"/>
      <x:c r="M634" s="17"/>
      <x:c r="N634" s="4" t="str">
        <x:v>Programmable Frequency Divider/src/fractional_pulse_divider.v</x:v>
      </x:c>
      <x:c r="O634" s="25" t="str">
        <x:v>https://github.com/kapiltrip/RevisionAtlas/blob/2f827008d725333643a78e6c31935ab24cb4e6b7/Programmable%20Frequency%20Divider/src/fractional_pulse_divider.v</x:v>
      </x:c>
      <x:c r="P634" s="4" t="str">
        <x:f>IF(B634="Done",IF(OR(J634="",K634="",L634=""),"Add run evidence","Recorded"),IF(OR(B634="Blocked",B634="N/A"),IF(M634="","Add reason","Reason recorded"),""))</x:f>
      </x:c>
      <x:c r="Q634" s="4" t="str">
        <x:v>2f827008d725333643a78e6c31935ab24cb4e6b7</x:v>
      </x:c>
    </x:row>
    <x:row r="635" ht="86" customHeight="1">
      <x:c r="A635" s="15" t="str">
        <x:v>RA-047</x:v>
      </x:c>
      <x:c r="B635" s="19" t="str">
        <x:v>Pending</x:v>
      </x:c>
      <x:c r="C635" s="15" t="str">
        <x:v>P1</x:v>
      </x:c>
      <x:c r="D635" s="15" t="str">
        <x:v>RevisionAtlas</x:v>
      </x:c>
      <x:c r="E635" s="15" t="str">
        <x:v>Sequential logic</x:v>
      </x:c>
      <x:c r="F635" s="15" t="str">
        <x:v>Reset, control priority and cycle behavior</x:v>
      </x:c>
      <x:c r="G635" s="15" t="str">
        <x:v>clk, rst, newd, din, dout, last</x:v>
      </x:c>
      <x:c r="H635" s="15" t="str">
        <x:v>For top, initialize through its reset/load path, then vary newd, din before active edges. Cover each control combination, holds, boundary transitions and reset during activity. Clock/reset events in this source: inspect the instantiated modules for clock edge and reset polarity.</x:v>
      </x:c>
      <x:c r="I635" s="15" t="str">
        <x:v>Check dout, last only at its defined valid time. Compare a cycle-by-cycle reference state/sequence, including reset polarity and priority. Sample registered results after nonblocking updates; combinational Mealy outputs may require a pre-edge check. Source mapping: last = last_t.</x:v>
      </x:c>
      <x:c r="J635" s="17"/>
      <x:c r="K635" s="24"/>
      <x:c r="L635" s="17"/>
      <x:c r="M635" s="17"/>
      <x:c r="N635" s="15" t="str">
        <x:v>Protocols/04 AMBA/03 AXI/Code/Section 02 - AXI-Stream Interface Fundamentals/Lessons 027-028 - Master Slave Integration/rtl/top.sv</x:v>
      </x:c>
      <x:c r="O635" s="26" t="str">
        <x:v>https://github.com/kapiltrip/RevisionAtlas/blob/2f827008d725333643a78e6c31935ab24cb4e6b7/Protocols/04%20AMBA/03%20AXI/Code/Section%2002%20-%20AXI-Stream%20Interface%20Fundamentals/Lessons%20027-028%20-%20Master%20Slave%20Integration/rtl/top.sv</x:v>
      </x:c>
      <x:c r="P635" s="15" t="str">
        <x:f>IF(B635="Done",IF(OR(J635="",K635="",L635=""),"Add run evidence","Recorded"),IF(OR(B635="Blocked",B635="N/A"),IF(M635="","Add reason","Reason recorded"),""))</x:f>
      </x:c>
      <x:c r="Q635" s="15" t="str">
        <x:v>2f827008d725333643a78e6c31935ab24cb4e6b7</x:v>
      </x:c>
    </x:row>
    <x:row r="636" ht="152" customHeight="1">
      <x:c r="A636" s="4" t="str">
        <x:v>RA-048</x:v>
      </x:c>
      <x:c r="B636" s="19" t="str">
        <x:v>Pending</x:v>
      </x:c>
      <x:c r="C636" s="4" t="str">
        <x:v>P1</x:v>
      </x:c>
      <x:c r="D636" s="4" t="str">
        <x:v>RevisionAtlas</x:v>
      </x:c>
      <x:c r="E636" s="4" t="str">
        <x:v>Sequential logic</x:v>
      </x:c>
      <x:c r="F636" s="4" t="str">
        <x:v>Reset, control priority and cycle behavior</x:v>
      </x:c>
      <x:c r="G636" s="4" t="str">
        <x:v>aclk, aresetn, s_axis_tvalid1, s_axis_tvalid2, s_axis_tdata1, s_axis_tdata2, s_axis_tlast1, s_axis_tlast2, m_axis_tready, s_axis_tready1, s_axis_tready2, m_axis_tvalid, m_axis_tdata, m_axis_tlast</x:v>
      </x:c>
      <x:c r="H636" s="4" t="str">
        <x:v>For axis_arb, initialize through its reset/load path, then vary s_axis_tvalid1, s_axis_tvalid2, s_axis_tdata1, s_axis_tdata2, s_axis_tlast1, s_axis_tlast2, m_axis_tready before active edges. Cover each control combination, holds, boundary transitions and reset during activity. Clock/reset events in this source: posedge aclk.</x:v>
      </x:c>
      <x:c r="I636" s="4" t="str">
        <x:v>Check s_axis_tready1, s_axis_tready2, m_axis_tvalid, m_axis_tdata, m_axis_tlast only at its defined valid time. Compare a cycle-by-cycle reference state/sequence, including reset polarity and priority. Sample registered results after nonblocking updates; combinational Mealy outputs may require a pre-edge check. Source mapping: s_axis_tready1 = 1'b1; s_axis_tready2 = 1'b1; m_axis_tdata = ((s_axis_tvalid1 &amp;&amp; s_axis_tready1)||(s_axis_tvalid2 &amp;&amp; s_axis_tready2)) ? reg_tdata : 8'h00; m_axis_tlast = ((s_axis_tvalid1 &amp;&amp; s_axis_tready1)||(s_axis_tvalid2 &amp;&amp; s_axis_tready2)) ? reg_tlast : 1'b0; m_axis_tvalid = ((s_axis_tvalid1 &amp;&amp; s_axis_tready1)||(s_axis_tvalid2 &amp;&amp; s_axis_tready2)) ? 1'b1 : 1'b0.</x:v>
      </x:c>
      <x:c r="J636" s="17"/>
      <x:c r="K636" s="24"/>
      <x:c r="L636" s="17"/>
      <x:c r="M636" s="17"/>
      <x:c r="N636" s="4" t="str">
        <x:v>Protocols/04 AMBA/03 AXI/Code/Section 03 - AXI-Stream IPs/Lessons 034-038 - AXIS Arbiter/rtl/axis_arb.sv</x:v>
      </x:c>
      <x:c r="O636" s="25" t="str">
        <x:v>https://github.com/kapiltrip/RevisionAtlas/blob/2f827008d725333643a78e6c31935ab24cb4e6b7/Protocols/04%20AMBA/03%20AXI/Code/Section%2003%20-%20AXI-Stream%20IPs/Lessons%20034-038%20-%20AXIS%20Arbiter/rtl/axis_arb.sv</x:v>
      </x:c>
      <x:c r="P636" s="4" t="str">
        <x:f>IF(B636="Done",IF(OR(J636="",K636="",L636=""),"Add run evidence","Recorded"),IF(OR(B636="Blocked",B636="N/A"),IF(M636="","Add reason","Reason recorded"),""))</x:f>
      </x:c>
      <x:c r="Q636" s="4" t="str">
        <x:v>2f827008d725333643a78e6c31935ab24cb4e6b7</x:v>
      </x:c>
    </x:row>
    <x:row r="637" ht="86" customHeight="1">
      <x:c r="A637" s="15" t="str">
        <x:v>RA-049</x:v>
      </x:c>
      <x:c r="B637" s="19" t="str">
        <x:v>Pending</x:v>
      </x:c>
      <x:c r="C637" s="15" t="str">
        <x:v>P1</x:v>
      </x:c>
      <x:c r="D637" s="15" t="str">
        <x:v>RevisionAtlas</x:v>
      </x:c>
      <x:c r="E637" s="15" t="str">
        <x:v>Sequential logic</x:v>
      </x:c>
      <x:c r="F637" s="15" t="str">
        <x:v>Reset, control priority and cycle behavior</x:v>
      </x:c>
      <x:c r="G637" s="15" t="str">
        <x:v>i_addrin, i_wr, m_axi_aclk, m_axi_aresetn, o_rdata, o_resp</x:v>
      </x:c>
      <x:c r="H637" s="15" t="str">
        <x:v>For top, initialize through its reset/load path, then vary i_addrin, i_wr before active edges. Cover each control combination, holds, boundary transitions and reset during activity. Clock/reset events in this source: inspect the instantiated modules for clock edge and reset polarity.</x:v>
      </x:c>
      <x:c r="I637" s="15" t="str">
        <x:v>Check o_rdata, o_resp only at its defined valid time. Compare a cycle-by-cycle reference state/sequence, including reset polarity and priority. Sample registered results after nonblocking updates; combinational Mealy outputs may require a pre-edge check.</x:v>
      </x:c>
      <x:c r="J637" s="17"/>
      <x:c r="K637" s="24"/>
      <x:c r="L637" s="17"/>
      <x:c r="M637" s="17"/>
      <x:c r="N637" s="15" t="str">
        <x:v>Protocols/04 AMBA/03 AXI/Code/Section 05 - AXI-Lite Single Beat without Pipeline/Lessons 073-081 - AXIL Read Only Master and Slave/rtl/top.sv</x:v>
      </x:c>
      <x:c r="O637" s="26" t="str">
        <x:v>https://github.com/kapiltrip/RevisionAtlas/blob/2f827008d725333643a78e6c31935ab24cb4e6b7/Protocols/04%20AMBA/03%20AXI/Code/Section%2005%20-%20AXI-Lite%20Single%20Beat%20without%20Pipeline/Lessons%20073-081%20-%20AXIL%20Read%20Only%20Master%20and%20Slave/rtl/top.sv</x:v>
      </x:c>
      <x:c r="P637" s="15" t="str">
        <x:f>IF(B637="Done",IF(OR(J637="",K637="",L637=""),"Add run evidence","Recorded"),IF(OR(B637="Blocked",B637="N/A"),IF(M637="","Add reason","Reason recorded"),""))</x:f>
      </x:c>
      <x:c r="Q637" s="15" t="str">
        <x:v>2f827008d725333643a78e6c31935ab24cb4e6b7</x:v>
      </x:c>
    </x:row>
    <x:row r="638" ht="86" customHeight="1">
      <x:c r="A638" s="4" t="str">
        <x:v>RF-047</x:v>
      </x:c>
      <x:c r="B638" s="19" t="str">
        <x:v>Pending</x:v>
      </x:c>
      <x:c r="C638" s="20" t="str">
        <x:v>P0</x:v>
      </x:c>
      <x:c r="D638" s="4" t="str">
        <x:v>RamAndFifo</x:v>
      </x:c>
      <x:c r="E638" s="4" t="str">
        <x:v>Build and evidence</x:v>
      </x:c>
      <x:c r="F638" s="4" t="str">
        <x:v>Compile isolated tops and record reproducible evidence</x:v>
      </x:c>
      <x:c r="G638" s="4" t="str">
        <x:v>Top/module names and port declarations in the RTL map</x:v>
      </x:c>
      <x:c r="H638" s="4" t="str">
        <x:v>Choose one DUT/top and only its dependencies. Compile with warnings, set a bounded run time, and record simulator/version, source commit, parameters, seed and waveform/log path for every executed case.</x:v>
      </x:c>
      <x:c r="I638" s="4" t="str">
        <x:v>No unresolved modules, conflicting definitions or unexplained width warnings. A clean compile or an old PASS print does not mark functional cases Done. Do not wildcard-compile all learning exercises together.</x:v>
      </x:c>
      <x:c r="J638" s="17"/>
      <x:c r="K638" s="24"/>
      <x:c r="L638" s="17"/>
      <x:c r="M638" s="17"/>
      <x:c r="N638" s="4" t="str">
        <x:v>individual/fifo/sync_fifo.v</x:v>
      </x:c>
      <x:c r="O638" s="25" t="str">
        <x:v>https://github.com/kapiltrip/RamAndFifo/blob/858ffb35bb31e70051ca25d6cb24e5aa5020bd41/individual/fifo/sync_fifo.v</x:v>
      </x:c>
      <x:c r="P638" s="4" t="str">
        <x:f>IF(B638="Done",IF(OR(J638="",K638="",L638=""),"Add run evidence","Recorded"),IF(OR(B638="Blocked",B638="N/A"),IF(M638="","Add reason","Reason recorded"),""))</x:f>
      </x:c>
      <x:c r="Q638" s="4" t="str">
        <x:v>858ffb35bb31e70051ca25d6cb24e5aa5020bd41</x:v>
      </x:c>
    </x:row>
    <x:row r="639" ht="86" customHeight="1">
      <x:c r="A639" s="15" t="str">
        <x:v>AF-018</x:v>
      </x:c>
      <x:c r="B639" s="19" t="str">
        <x:v>Pending</x:v>
      </x:c>
      <x:c r="C639" s="21" t="str">
        <x:v>P0</x:v>
      </x:c>
      <x:c r="D639" s="15" t="str">
        <x:v>AsynchronousFifo</x:v>
      </x:c>
      <x:c r="E639" s="15" t="str">
        <x:v>Build and evidence</x:v>
      </x:c>
      <x:c r="F639" s="15" t="str">
        <x:v>Compile isolated tops and record reproducible evidence</x:v>
      </x:c>
      <x:c r="G639" s="15" t="str">
        <x:v>Top/module names and port declarations in the RTL map</x:v>
      </x:c>
      <x:c r="H639" s="15" t="str">
        <x:v>Choose one DUT/top and only its dependencies. Compile with warnings, set a bounded run time, and record simulator/version, source commit, parameters, seed and waveform/log path for every executed case.</x:v>
      </x:c>
      <x:c r="I639" s="15" t="str">
        <x:v>No unresolved modules, conflicting definitions or unexplained width warnings. A clean compile or an old PASS print does not mark functional cases Done. Do not wildcard-compile all learning exercises together.</x:v>
      </x:c>
      <x:c r="J639" s="17"/>
      <x:c r="K639" s="24"/>
      <x:c r="L639" s="17"/>
      <x:c r="M639" s="17"/>
      <x:c r="N639" s="15" t="str">
        <x:v>async_fifo.v</x:v>
      </x:c>
      <x:c r="O639" s="26" t="str">
        <x:v>https://github.com/kapiltrip/AsynchronousFifo/blob/a60bcd212928103b2d81d8f2d4eae248ea2e3468/async_fifo.v</x:v>
      </x:c>
      <x:c r="P639" s="15" t="str">
        <x:f>IF(B639="Done",IF(OR(J639="",K639="",L639=""),"Add run evidence","Recorded"),IF(OR(B639="Blocked",B639="N/A"),IF(M639="","Add reason","Reason recorded"),""))</x:f>
      </x:c>
      <x:c r="Q639" s="15" t="str">
        <x:v>a60bcd212928103b2d81d8f2d4eae248ea2e3468</x:v>
      </x:c>
    </x:row>
    <x:row r="640" ht="86" customHeight="1">
      <x:c r="A640" s="4" t="str">
        <x:v>UART-042</x:v>
      </x:c>
      <x:c r="B640" s="19" t="str">
        <x:v>Pending</x:v>
      </x:c>
      <x:c r="C640" s="20" t="str">
        <x:v>P0</x:v>
      </x:c>
      <x:c r="D640" s="4" t="str">
        <x:v>UART-</x:v>
      </x:c>
      <x:c r="E640" s="4" t="str">
        <x:v>Build and evidence</x:v>
      </x:c>
      <x:c r="F640" s="4" t="str">
        <x:v>Compile isolated tops and record reproducible evidence</x:v>
      </x:c>
      <x:c r="G640" s="4" t="str">
        <x:v>Top/module names and port declarations in the RTL map</x:v>
      </x:c>
      <x:c r="H640" s="4" t="str">
        <x:v>Choose one DUT/top and only its dependencies. Compile with warnings, set a bounded run time, and record simulator/version, source commit, parameters, seed and waveform/log path for every executed case.</x:v>
      </x:c>
      <x:c r="I640" s="4" t="str">
        <x:v>No unresolved modules, conflicting definitions or unexplained width warnings. A clean compile or an old PASS print does not mark functional cases Done. Do not wildcard-compile all learning exercises together.</x:v>
      </x:c>
      <x:c r="J640" s="17"/>
      <x:c r="K640" s="24"/>
      <x:c r="L640" s="17"/>
      <x:c r="M640" s="17"/>
      <x:c r="N640" s="4" t="str">
        <x:v>rtlCode/baud_rate_generator.v</x:v>
      </x:c>
      <x:c r="O640" s="25" t="str">
        <x:v>https://github.com/kapiltrip/UART-/blob/5f65f99cf43ed317f18874503046f994d5038c65/rtlCode/baud_rate_generator.v</x:v>
      </x:c>
      <x:c r="P640" s="4" t="str">
        <x:f>IF(B640="Done",IF(OR(J640="",K640="",L640=""),"Add run evidence","Recorded"),IF(OR(B640="Blocked",B640="N/A"),IF(M640="","Add reason","Reason recorded"),""))</x:f>
      </x:c>
      <x:c r="Q640" s="4" t="str">
        <x:v>5f65f99cf43ed317f18874503046f994d5038c65</x:v>
      </x:c>
    </x:row>
    <x:row r="641" ht="86" customHeight="1">
      <x:c r="A641" s="15" t="str">
        <x:v>UL-024</x:v>
      </x:c>
      <x:c r="B641" s="19" t="str">
        <x:v>Pending</x:v>
      </x:c>
      <x:c r="C641" s="21" t="str">
        <x:v>P0</x:v>
      </x:c>
      <x:c r="D641" s="15" t="str">
        <x:v>UART-legacy</x:v>
      </x:c>
      <x:c r="E641" s="15" t="str">
        <x:v>Build and evidence</x:v>
      </x:c>
      <x:c r="F641" s="15" t="str">
        <x:v>Compile isolated tops and record reproducible evidence</x:v>
      </x:c>
      <x:c r="G641" s="15" t="str">
        <x:v>Top/module names and port declarations in the RTL map</x:v>
      </x:c>
      <x:c r="H641" s="15" t="str">
        <x:v>Choose one DUT/top and only its dependencies. Compile with warnings, set a bounded run time, and record simulator/version, source commit, parameters, seed and waveform/log path for every executed case.</x:v>
      </x:c>
      <x:c r="I641" s="15" t="str">
        <x:v>No unresolved modules, conflicting definitions or unexplained width warnings. A clean compile or an old PASS print does not mark functional cases Done. Do not wildcard-compile all learning exercises together.</x:v>
      </x:c>
      <x:c r="J641" s="17"/>
      <x:c r="K641" s="24"/>
      <x:c r="L641" s="17"/>
      <x:c r="M641" s="17"/>
      <x:c r="N641" s="15" t="str">
        <x:v>baud_rate_generator.v</x:v>
      </x:c>
      <x:c r="O641" s="26" t="str">
        <x:v>https://github.com/kapiltrip/UART-legacy/blob/28d439c91eca72edba0ce269ba01812ad02c2900/baud_rate_generator.v</x:v>
      </x:c>
      <x:c r="P641" s="15" t="str">
        <x:f>IF(B641="Done",IF(OR(J641="",K641="",L641=""),"Add run evidence","Recorded"),IF(OR(B641="Blocked",B641="N/A"),IF(M641="","Add reason","Reason recorded"),""))</x:f>
      </x:c>
      <x:c r="Q641" s="15" t="str">
        <x:v>28d439c91eca72edba0ce269ba01812ad02c2900</x:v>
      </x:c>
    </x:row>
    <x:row r="642" ht="86" customHeight="1">
      <x:c r="A642" s="4" t="str">
        <x:v>DP-039</x:v>
      </x:c>
      <x:c r="B642" s="19" t="str">
        <x:v>Pending</x:v>
      </x:c>
      <x:c r="C642" s="20" t="str">
        <x:v>P0</x:v>
      </x:c>
      <x:c r="D642" s="4" t="str">
        <x:v>DesignProject</x:v>
      </x:c>
      <x:c r="E642" s="4" t="str">
        <x:v>Build and evidence</x:v>
      </x:c>
      <x:c r="F642" s="4" t="str">
        <x:v>Compile isolated tops and record reproducible evidence</x:v>
      </x:c>
      <x:c r="G642" s="4" t="str">
        <x:v>Top/module names and port declarations in the RTL map</x:v>
      </x:c>
      <x:c r="H642" s="4" t="str">
        <x:v>Choose one DUT/top and only its dependencies. Compile with warnings, set a bounded run time, and record simulator/version, source commit, parameters, seed and waveform/log path for every executed case.</x:v>
      </x:c>
      <x:c r="I642" s="4" t="str">
        <x:v>No unresolved modules, conflicting definitions or unexplained width warnings. A clean compile or an old PASS print does not mark functional cases Done. Do not wildcard-compile all learning exercises together.</x:v>
      </x:c>
      <x:c r="J642" s="17"/>
      <x:c r="K642" s="24"/>
      <x:c r="L642" s="17"/>
      <x:c r="M642" s="17"/>
      <x:c r="N642" s="4" t="str">
        <x:v>eda_playground/design.sv</x:v>
      </x:c>
      <x:c r="O642" s="25" t="str">
        <x:v>https://github.com/kapiltrip/DesignProject/blob/445e9ecfeab646f3c08a43b2e9bdc5fcb89950f4/eda_playground/design.sv</x:v>
      </x:c>
      <x:c r="P642" s="4" t="str">
        <x:f>IF(B642="Done",IF(OR(J642="",K642="",L642=""),"Add run evidence","Recorded"),IF(OR(B642="Blocked",B642="N/A"),IF(M642="","Add reason","Reason recorded"),""))</x:f>
      </x:c>
      <x:c r="Q642" s="4" t="str">
        <x:v>445e9ecfeab646f3c08a43b2e9bdc5fcb89950f4</x:v>
      </x:c>
    </x:row>
    <x:row r="643" ht="86" customHeight="1">
      <x:c r="A643" s="15" t="str">
        <x:v>VD-021</x:v>
      </x:c>
      <x:c r="B643" s="19" t="str">
        <x:v>Pending</x:v>
      </x:c>
      <x:c r="C643" s="21" t="str">
        <x:v>P0</x:v>
      </x:c>
      <x:c r="D643" s="15" t="str">
        <x:v>VerilogCodesUpdatedDaily</x:v>
      </x:c>
      <x:c r="E643" s="15" t="str">
        <x:v>Build and evidence</x:v>
      </x:c>
      <x:c r="F643" s="15" t="str">
        <x:v>Compile isolated tops and record reproducible evidence</x:v>
      </x:c>
      <x:c r="G643" s="15" t="str">
        <x:v>Top/module names and port declarations in the RTL map</x:v>
      </x:c>
      <x:c r="H643" s="15" t="str">
        <x:v>Choose one DUT/top and only its dependencies. Compile with warnings, set a bounded run time, and record simulator/version, source commit, parameters, seed and waveform/log path for every executed case.</x:v>
      </x:c>
      <x:c r="I643" s="15" t="str">
        <x:v>No unresolved modules, conflicting definitions or unexplained width warnings. A clean compile or an old PASS print does not mark functional cases Done. Do not wildcard-compile all learning exercises together.</x:v>
      </x:c>
      <x:c r="J643" s="17"/>
      <x:c r="K643" s="24"/>
      <x:c r="L643" s="17"/>
      <x:c r="M643" s="17"/>
      <x:c r="N643" s="15" t="str">
        <x:v>array_all.v</x:v>
      </x:c>
      <x:c r="O643" s="26" t="str">
        <x:v>https://github.com/kapiltrip/VerilogCodesUpdatedDaily/blob/16ce5086bddef41aa977a31440509a0c4219d3c0/array_all.v</x:v>
      </x:c>
      <x:c r="P643" s="15" t="str">
        <x:f>IF(B643="Done",IF(OR(J643="",K643="",L643=""),"Add run evidence","Recorded"),IF(OR(B643="Blocked",B643="N/A"),IF(M643="","Add reason","Reason recorded"),""))</x:f>
      </x:c>
      <x:c r="Q643" s="15" t="str">
        <x:v>16ce5086bddef41aa977a31440509a0c4219d3c0</x:v>
      </x:c>
    </x:row>
    <x:row r="644" ht="86" customHeight="1">
      <x:c r="A644" s="4" t="str">
        <x:v>CPU-012</x:v>
      </x:c>
      <x:c r="B644" s="19" t="str">
        <x:v>Pending</x:v>
      </x:c>
      <x:c r="C644" s="20" t="str">
        <x:v>P0</x:v>
      </x:c>
      <x:c r="D644" s="4" t="str">
        <x:v>mips-processor</x:v>
      </x:c>
      <x:c r="E644" s="4" t="str">
        <x:v>Build and evidence</x:v>
      </x:c>
      <x:c r="F644" s="4" t="str">
        <x:v>Compile isolated tops and record reproducible evidence</x:v>
      </x:c>
      <x:c r="G644" s="4" t="str">
        <x:v>Top/module names and port declarations in the RTL map</x:v>
      </x:c>
      <x:c r="H644" s="4" t="str">
        <x:v>Choose one DUT/top and only its dependencies. Compile with warnings, set a bounded run time, and record simulator/version, source commit, parameters, seed and waveform/log path for every executed case.</x:v>
      </x:c>
      <x:c r="I644" s="4" t="str">
        <x:v>No unresolved modules, conflicting definitions or unexplained width warnings. A clean compile or an old PASS print does not mark functional cases Done. Do not wildcard-compile all learning exercises together.</x:v>
      </x:c>
      <x:c r="J644" s="17"/>
      <x:c r="K644" s="24"/>
      <x:c r="L644" s="17"/>
      <x:c r="M644" s="17"/>
      <x:c r="N644" s="4" t="str">
        <x:v>modellingOftheProcessor/alu.v</x:v>
      </x:c>
      <x:c r="O644" s="25" t="str">
        <x:v>https://github.com/kapiltrip/mips-processor/blob/a6f8a8843b90f68ce59dfabafdfd47f6e3331f8a/modellingOftheProcessor/alu.v</x:v>
      </x:c>
      <x:c r="P644" s="4" t="str">
        <x:f>IF(B644="Done",IF(OR(J644="",K644="",L644=""),"Add run evidence","Recorded"),IF(OR(B644="Blocked",B644="N/A"),IF(M644="","Add reason","Reason recorded"),""))</x:f>
      </x:c>
      <x:c r="Q644" s="4" t="str">
        <x:v>a6f8a8843b90f68ce59dfabafdfd47f6e3331f8a</x:v>
      </x:c>
    </x:row>
    <x:row r="645" ht="86" customHeight="1">
      <x:c r="A645" s="15" t="str">
        <x:v>LAB-036</x:v>
      </x:c>
      <x:c r="B645" s="19" t="str">
        <x:v>Pending</x:v>
      </x:c>
      <x:c r="C645" s="21" t="str">
        <x:v>P0</x:v>
      </x:c>
      <x:c r="D645" s="15" t="str">
        <x:v>VerificationLab</x:v>
      </x:c>
      <x:c r="E645" s="15" t="str">
        <x:v>Build and evidence</x:v>
      </x:c>
      <x:c r="F645" s="15" t="str">
        <x:v>Compile isolated tops and record reproducible evidence</x:v>
      </x:c>
      <x:c r="G645" s="15" t="str">
        <x:v>Top/module names and port declarations in the RTL map</x:v>
      </x:c>
      <x:c r="H645" s="15" t="str">
        <x:v>Choose one DUT/top and only its dependencies. Compile with warnings, set a bounded run time, and record simulator/version, source commit, parameters, seed and waveform/log path for every executed case.</x:v>
      </x:c>
      <x:c r="I645" s="15" t="str">
        <x:v>No unresolved modules, conflicting definitions or unexplained width warnings. A clean compile or an old PASS print does not mark functional cases Done. Do not wildcard-compile all learning exercises together.</x:v>
      </x:c>
      <x:c r="J645" s="17"/>
      <x:c r="K645" s="24"/>
      <x:c r="L645" s="17"/>
      <x:c r="M645" s="17"/>
      <x:c r="N645" s="15" t="str">
        <x:v>exp1/exp1_mux4to1.sv</x:v>
      </x:c>
      <x:c r="O645" s="26" t="str">
        <x:v>https://github.com/kapiltrip/VerificationLab/blob/0c649a2cbbeef29a88717dda465b6cf958a1bc15/exp1/exp1_mux4to1.sv</x:v>
      </x:c>
      <x:c r="P645" s="15" t="str">
        <x:f>IF(B645="Done",IF(OR(J645="",K645="",L645=""),"Add run evidence","Recorded"),IF(OR(B645="Blocked",B645="N/A"),IF(M645="","Add reason","Reason recorded"),""))</x:f>
      </x:c>
      <x:c r="Q645" s="15" t="str">
        <x:v>0c649a2cbbeef29a88717dda465b6cf958a1bc15</x:v>
      </x:c>
    </x:row>
    <x:row r="646" ht="86" customHeight="1">
      <x:c r="A646" s="4" t="str">
        <x:v>PP-048</x:v>
      </x:c>
      <x:c r="B646" s="19" t="str">
        <x:v>Pending</x:v>
      </x:c>
      <x:c r="C646" s="20" t="str">
        <x:v>P0</x:v>
      </x:c>
      <x:c r="D646" s="4" t="str">
        <x:v>PlacementPrep</x:v>
      </x:c>
      <x:c r="E646" s="4" t="str">
        <x:v>Build and evidence</x:v>
      </x:c>
      <x:c r="F646" s="4" t="str">
        <x:v>Compile isolated tops and record reproducible evidence</x:v>
      </x:c>
      <x:c r="G646" s="4" t="str">
        <x:v>Top/module names and port declarations in the RTL map</x:v>
      </x:c>
      <x:c r="H646" s="4" t="str">
        <x:v>Choose one DUT/top and only its dependencies. Compile with warnings, set a bounded run time, and record simulator/version, source commit, parameters, seed and waveform/log path for every executed case.</x:v>
      </x:c>
      <x:c r="I646" s="4" t="str">
        <x:v>No unresolved modules, conflicting definitions or unexplained width warnings. A clean compile or an old PASS print does not mark functional cases Done. Do not wildcard-compile all learning exercises together.</x:v>
      </x:c>
      <x:c r="J646" s="17"/>
      <x:c r="K646" s="24"/>
      <x:c r="L646" s="17"/>
      <x:c r="M646" s="17"/>
      <x:c r="N646" s="4" t="str">
        <x:v>src/additions/gate/and2_g.v</x:v>
      </x:c>
      <x:c r="O646" s="25" t="str">
        <x:v>https://github.com/kapiltrip/PlacementPrep/blob/4aeb1a1555f5051ec06a4cc3fc5ae866fcc13194/src/additions/gate/and2_g.v</x:v>
      </x:c>
      <x:c r="P646" s="4" t="str">
        <x:f>IF(B646="Done",IF(OR(J646="",K646="",L646=""),"Add run evidence","Recorded"),IF(OR(B646="Blocked",B646="N/A"),IF(M646="","Add reason","Reason recorded"),""))</x:f>
      </x:c>
      <x:c r="Q646" s="4" t="str">
        <x:v>4aeb1a1555f5051ec06a4cc3fc5ae866fcc13194</x:v>
      </x:c>
    </x:row>
    <x:row r="647" ht="86" customHeight="1">
      <x:c r="A647" s="15" t="str">
        <x:v>GQ-079</x:v>
      </x:c>
      <x:c r="B647" s="19" t="str">
        <x:v>Pending</x:v>
      </x:c>
      <x:c r="C647" s="21" t="str">
        <x:v>P0</x:v>
      </x:c>
      <x:c r="D647" s="15" t="str">
        <x:v>GoodQuestions</x:v>
      </x:c>
      <x:c r="E647" s="15" t="str">
        <x:v>Build and evidence</x:v>
      </x:c>
      <x:c r="F647" s="15" t="str">
        <x:v>Compile isolated tops and record reproducible evidence</x:v>
      </x:c>
      <x:c r="G647" s="15" t="str">
        <x:v>Top/module names and port declarations in the RTL map</x:v>
      </x:c>
      <x:c r="H647" s="15" t="str">
        <x:v>Choose one DUT/top and only its dependencies. Compile with warnings, set a bounded run time, and record simulator/version, source commit, parameters, seed and waveform/log path for every executed case.</x:v>
      </x:c>
      <x:c r="I647" s="15" t="str">
        <x:v>No unresolved modules, conflicting definitions or unexplained width warnings. A clean compile or an old PASS print does not mark functional cases Done. Do not wildcard-compile all learning exercises together.</x:v>
      </x:c>
      <x:c r="J647" s="17"/>
      <x:c r="K647" s="24"/>
      <x:c r="L647" s="17"/>
      <x:c r="M647" s="17"/>
      <x:c r="N647" s="15" t="str">
        <x:v>qa/bi_buf/bi_buf.v</x:v>
      </x:c>
      <x:c r="O647" s="26" t="str">
        <x:v>https://github.com/kapiltrip/GoodQuestions/blob/a83e5a8a5d7262dd223ebbf4af2bf4c8434d9701/qa/bi_buf/bi_buf.v</x:v>
      </x:c>
      <x:c r="P647" s="15" t="str">
        <x:f>IF(B647="Done",IF(OR(J647="",K647="",L647=""),"Add run evidence","Recorded"),IF(OR(B647="Blocked",B647="N/A"),IF(M647="","Add reason","Reason recorded"),""))</x:f>
      </x:c>
      <x:c r="Q647" s="15" t="str">
        <x:v>a83e5a8a5d7262dd223ebbf4af2bf4c8434d9701</x:v>
      </x:c>
    </x:row>
    <x:row r="648" ht="86" customHeight="1">
      <x:c r="A648" s="4" t="str">
        <x:v>MM-002</x:v>
      </x:c>
      <x:c r="B648" s="19" t="str">
        <x:v>Pending</x:v>
      </x:c>
      <x:c r="C648" s="20" t="str">
        <x:v>P0</x:v>
      </x:c>
      <x:c r="D648" s="4" t="str">
        <x:v>MorrisManoDE</x:v>
      </x:c>
      <x:c r="E648" s="4" t="str">
        <x:v>Build and evidence</x:v>
      </x:c>
      <x:c r="F648" s="4" t="str">
        <x:v>Compile isolated tops and record reproducible evidence</x:v>
      </x:c>
      <x:c r="G648" s="4" t="str">
        <x:v>Top/module names and port declarations in the RTL map</x:v>
      </x:c>
      <x:c r="H648" s="4" t="str">
        <x:v>Choose one DUT/top and only its dependencies. Compile with warnings, set a bounded run time, and record simulator/version, source commit, parameters, seed and waveform/log path for every executed case.</x:v>
      </x:c>
      <x:c r="I648" s="4" t="str">
        <x:v>No unresolved modules, conflicting definitions or unexplained width warnings. A clean compile or an old PASS print does not mark functional cases Done. Do not wildcard-compile all learning exercises together.</x:v>
      </x:c>
      <x:c r="J648" s="17"/>
      <x:c r="K648" s="24"/>
      <x:c r="L648" s="17"/>
      <x:c r="M648" s="17"/>
      <x:c r="N648" s="4" t="str">
        <x:v>code0.v</x:v>
      </x:c>
      <x:c r="O648" s="25" t="str">
        <x:v>https://github.com/kapiltrip/MorrisManoDE/blob/46c9045295755c84efdd9a8e2324004ff0b7d163/code0.v</x:v>
      </x:c>
      <x:c r="P648" s="4" t="str">
        <x:f>IF(B648="Done",IF(OR(J648="",K648="",L648=""),"Add run evidence","Recorded"),IF(OR(B648="Blocked",B648="N/A"),IF(M648="","Add reason","Reason recorded"),""))</x:f>
      </x:c>
      <x:c r="Q648" s="4" t="str">
        <x:v>46c9045295755c84efdd9a8e2324004ff0b7d163</x:v>
      </x:c>
    </x:row>
    <x:row r="649" ht="86" customHeight="1">
      <x:c r="A649" s="15" t="str">
        <x:v>HDL-178</x:v>
      </x:c>
      <x:c r="B649" s="19" t="str">
        <x:v>Pending</x:v>
      </x:c>
      <x:c r="C649" s="21" t="str">
        <x:v>P0</x:v>
      </x:c>
      <x:c r="D649" s="15" t="str">
        <x:v>hdlBits</x:v>
      </x:c>
      <x:c r="E649" s="15" t="str">
        <x:v>Build and evidence</x:v>
      </x:c>
      <x:c r="F649" s="15" t="str">
        <x:v>Compile isolated tops and record reproducible evidence</x:v>
      </x:c>
      <x:c r="G649" s="15" t="str">
        <x:v>Top/module names and port declarations in the RTL map</x:v>
      </x:c>
      <x:c r="H649" s="15" t="str">
        <x:v>Choose one DUT/top and only its dependencies. Compile with warnings, set a bounded run time, and record simulator/version, source commit, parameters, seed and waveform/log path for every executed case.</x:v>
      </x:c>
      <x:c r="I649" s="15" t="str">
        <x:v>No unresolved modules, conflicting definitions or unexplained width warnings. A clean compile or an old PASS print does not mark functional cases Done. Do not wildcard-compile all learning exercises together.</x:v>
      </x:c>
      <x:c r="J649" s="17"/>
      <x:c r="K649" s="24"/>
      <x:c r="L649" s="17"/>
      <x:c r="M649" s="17"/>
      <x:c r="N649" s="15" t="str">
        <x:v>HDLBits Attempt 1/study/solutions/Day 01/003-notgate.sv</x:v>
      </x:c>
      <x:c r="O649" s="26" t="str">
        <x:v>https://github.com/kapiltrip/hdlBits/blob/fc3f2b993a1e202ef42a8e831c29f8f287f85e7a/HDLBits%20Attempt%201/study/solutions/Day%2001/003-notgate.sv</x:v>
      </x:c>
      <x:c r="P649" s="15" t="str">
        <x:f>IF(B649="Done",IF(OR(J649="",K649="",L649=""),"Add run evidence","Recorded"),IF(OR(B649="Blocked",B649="N/A"),IF(M649="","Add reason","Reason recorded"),""))</x:f>
      </x:c>
      <x:c r="Q649" s="15" t="str">
        <x:v>fc3f2b993a1e202ef42a8e831c29f8f287f85e7a</x:v>
      </x:c>
    </x:row>
    <x:row r="650" ht="86" customHeight="1">
      <x:c r="A650" s="4" t="str">
        <x:v>SV-048</x:v>
      </x:c>
      <x:c r="B650" s="19" t="str">
        <x:v>Pending</x:v>
      </x:c>
      <x:c r="C650" s="20" t="str">
        <x:v>P0</x:v>
      </x:c>
      <x:c r="D650" s="4" t="str">
        <x:v>systemverilog-from-beginning</x:v>
      </x:c>
      <x:c r="E650" s="4" t="str">
        <x:v>Build and evidence</x:v>
      </x:c>
      <x:c r="F650" s="4" t="str">
        <x:v>Compile isolated tops and record reproducible evidence</x:v>
      </x:c>
      <x:c r="G650" s="4" t="str">
        <x:v>Top/module names and port declarations in the RTL map</x:v>
      </x:c>
      <x:c r="H650" s="4" t="str">
        <x:v>Choose one DUT/top and only its dependencies. Compile with warnings, set a bounded run time, and record simulator/version, source commit, parameters, seed and waveform/log path for every executed case.</x:v>
      </x:c>
      <x:c r="I650" s="4" t="str">
        <x:v>No unresolved modules, conflicting definitions or unexplained width warnings. A clean compile or an old PASS print does not mark functional cases Done. Do not wildcard-compile all learning exercises together.</x:v>
      </x:c>
      <x:c r="J650" s="17"/>
      <x:c r="K650" s="24"/>
      <x:c r="L650" s="17"/>
      <x:c r="M650" s="17"/>
      <x:c r="N650" s="4" t="str">
        <x:v>SV Assertions/Codes/02-immediate-assertions-in-a-mux/design.sv</x:v>
      </x:c>
      <x:c r="O650" s="25" t="str">
        <x:v>https://github.com/kapiltrip/systemverilog-from-beginning/blob/318bd495dee245f946d7c72127cb698bcf6e6680/SV%20Assertions/Codes/02-immediate-assertions-in-a-mux/design.sv</x:v>
      </x:c>
      <x:c r="P650" s="4" t="str">
        <x:f>IF(B650="Done",IF(OR(J650="",K650="",L650=""),"Add run evidence","Recorded"),IF(OR(B650="Blocked",B650="N/A"),IF(M650="","Add reason","Reason recorded"),""))</x:f>
      </x:c>
      <x:c r="Q650" s="4" t="str">
        <x:v>318bd495dee245f946d7c72127cb698bcf6e6680</x:v>
      </x:c>
    </x:row>
    <x:row r="651" ht="86" customHeight="1">
      <x:c r="A651" s="15" t="str">
        <x:v>RA-050</x:v>
      </x:c>
      <x:c r="B651" s="19" t="str">
        <x:v>Pending</x:v>
      </x:c>
      <x:c r="C651" s="21" t="str">
        <x:v>P0</x:v>
      </x:c>
      <x:c r="D651" s="15" t="str">
        <x:v>RevisionAtlas</x:v>
      </x:c>
      <x:c r="E651" s="15" t="str">
        <x:v>Build and evidence</x:v>
      </x:c>
      <x:c r="F651" s="15" t="str">
        <x:v>Compile isolated tops and record reproducible evidence</x:v>
      </x:c>
      <x:c r="G651" s="15" t="str">
        <x:v>Top/module names and port declarations in the RTL map</x:v>
      </x:c>
      <x:c r="H651" s="15" t="str">
        <x:v>Choose one DUT/top and only its dependencies. Compile with warnings, set a bounded run time, and record simulator/version, source commit, parameters, seed and waveform/log path for every executed case.</x:v>
      </x:c>
      <x:c r="I651" s="15" t="str">
        <x:v>No unresolved modules, conflicting definitions or unexplained width warnings. A clean compile or an old PASS print does not mark functional cases Done. Do not wildcard-compile all learning exercises together.</x:v>
      </x:c>
      <x:c r="J651" s="17"/>
      <x:c r="K651" s="24"/>
      <x:c r="L651" s="17"/>
      <x:c r="M651" s="17"/>
      <x:c r="N651" s="15" t="str">
        <x:v>Frequency Dividers/examples/counter_75_98.v</x:v>
      </x:c>
      <x:c r="O651" s="26" t="str">
        <x:v>https://github.com/kapiltrip/RevisionAtlas/blob/2f827008d725333643a78e6c31935ab24cb4e6b7/Frequency%20Dividers/examples/counter_75_98.v</x:v>
      </x:c>
      <x:c r="P651" s="15" t="str">
        <x:f>IF(B651="Done",IF(OR(J651="",K651="",L651=""),"Add run evidence","Recorded"),IF(OR(B651="Blocked",B651="N/A"),IF(M651="","Add reason","Reason recorded"),""))</x:f>
      </x:c>
      <x:c r="Q651" s="15" t="str">
        <x:v>2f827008d725333643a78e6c31935ab24cb4e6b7</x:v>
      </x:c>
    </x:row>
  </x:sheetData>
  <x:mergeCells>
    <x:mergeCell ref="A1:I2"/>
    <x:mergeCell ref="A3:I3"/>
    <x:mergeCell ref="A4:I4"/>
    <x:mergeCell ref="J1:Q2"/>
    <x:mergeCell ref="J3:Q4"/>
    <x:mergeCell ref="A6:I6"/>
    <x:mergeCell ref="J6:Q6"/>
  </x:mergeCells>
  <x:conditionalFormatting sqref="B8:B651">
    <x:cfRule type="cellIs" dxfId="0" priority="1" operator="equal">
      <x:formula>"Pending"</x:formula>
    </x:cfRule>
    <x:cfRule type="cellIs" dxfId="1" priority="2" operator="equal">
      <x:formula>"In progress"</x:formula>
    </x:cfRule>
    <x:cfRule type="cellIs" dxfId="2" priority="3" operator="equal">
      <x:formula>"Done"</x:formula>
    </x:cfRule>
    <x:cfRule type="cellIs" dxfId="3" priority="4" operator="equal">
      <x:formula>"Failed"</x:formula>
    </x:cfRule>
    <x:cfRule type="cellIs" dxfId="4" priority="5" operator="equal">
      <x:formula>"Blocked"</x:formula>
    </x:cfRule>
    <x:cfRule type="cellIs" dxfId="5" priority="6" operator="equal">
      <x:formula>"N/A"</x:formula>
    </x:cfRule>
  </x:conditionalFormatting>
  <x:conditionalFormatting sqref="C8:C651">
    <x:cfRule type="cellIs" dxfId="6" priority="7" operator="equal">
      <x:formula>"P0"</x:formula>
    </x:cfRule>
  </x:conditionalFormatting>
  <x:conditionalFormatting sqref="P8:P651">
    <x:cfRule type="containsText" dxfId="7" priority="8" operator="containsText" text="Add"/>
  </x:conditionalFormatting>
  <x:dataValidations count="2">
    <x:dataValidation type="list" sqref="B8:B651">
      <x:formula1>"Pending,In progress,Done,Failed,Blocked,N/A"</x:formula1>
    </x:dataValidation>
    <x:dataValidation type="list" sqref="C8:C651">
      <x:formula1>"P0,P1,P2"</x:formula1>
    </x:dataValidation>
  </x:dataValidations>
  <x:pageMargins left="0.7" right="0.7" top="0.75" bottom="0.75" header="0.3" footer="0.3"/>
  <x:tableParts count="1">
    <x:tablePart xmlns:r="http://schemas.openxmlformats.org/officeDocument/2006/relationships" r:id="R03cf98c272f247ee"/>
  </x:tableParts>
</x:worksheet>
</file>

<file path=xl/worksheets/sheet3.xml><?xml version="1.0" encoding="utf-8"?>
<x:worksheet xmlns:x="http://schemas.openxmlformats.org/spreadsheetml/2006/main">
  <x:sheetPr>
    <x:tabColor rgb="FF146C78"/>
  </x:sheetPr>
  <x:sheetViews>
    <x:sheetView showGridLines="0" workbookViewId="0">
      <x:pane xSplit="2" ySplit="7" topLeftCell="C8" activePane="bottomRight" state="frozen"/>
    </x:sheetView>
  </x:sheetViews>
  <x:sheetFormatPr defaultRowHeight="15"/>
  <x:cols>
    <x:col min="1" max="1" width="29" hidden="0" customWidth="1"/>
    <x:col min="2" max="2" width="92" hidden="0" customWidth="1"/>
    <x:col min="3" max="3" width="26" hidden="0" customWidth="1"/>
    <x:col min="4" max="4" width="52" hidden="0" customWidth="1"/>
    <x:col min="5" max="5" width="65" hidden="0" customWidth="1"/>
    <x:col min="6" max="6" width="65" hidden="0" customWidth="1"/>
    <x:col min="7" max="7" width="68" hidden="0" customWidth="1"/>
    <x:col min="8" max="8" width="74" hidden="0" customWidth="1"/>
    <x:col min="9" max="9" width="44" hidden="0" customWidth="1"/>
  </x:cols>
  <x:sheetData>
    <x:row r="1">
      <x:c r="A1" s="6" t="str">
        <x:v>VERILOG / RTL SOURCE MAP</x:v>
      </x:c>
      <x:c r="B1" s="6" t="str">
        <x:v>VERILOG / RTL SOURCE MAP</x:v>
      </x:c>
      <x:c r="C1" s="6" t="str">
        <x:v>VERILOG / RTL SOURCE MAP</x:v>
      </x:c>
      <x:c r="D1" s="6" t="str">
        <x:v>VERILOG / RTL SOURCE MAP</x:v>
      </x:c>
      <x:c r="E1" s="6" t="str">
        <x:v>VERILOG / RTL SOURCE MAP</x:v>
      </x:c>
      <x:c r="F1" s="6" t="str">
        <x:v>VERILOG / RTL SOURCE MAP</x:v>
      </x:c>
      <x:c r="G1" s="6" t="str">
        <x:v>VERILOG / RTL SOURCE MAP</x:v>
      </x:c>
      <x:c r="H1" s="4"/>
      <x:c r="I1" s="4"/>
    </x:row>
    <x:row r="2">
      <x:c r="A2" s="6" t="str">
        <x:v>VERILOG / RTL SOURCE MAP</x:v>
      </x:c>
      <x:c r="B2" s="6" t="str">
        <x:v>VERILOG / RTL SOURCE MAP</x:v>
      </x:c>
      <x:c r="C2" s="6" t="str">
        <x:v>VERILOG / RTL SOURCE MAP</x:v>
      </x:c>
      <x:c r="D2" s="6" t="str">
        <x:v>VERILOG / RTL SOURCE MAP</x:v>
      </x:c>
      <x:c r="E2" s="6" t="str">
        <x:v>VERILOG / RTL SOURCE MAP</x:v>
      </x:c>
      <x:c r="F2" s="6" t="str">
        <x:v>VERILOG / RTL SOURCE MAP</x:v>
      </x:c>
      <x:c r="G2" s="6" t="str">
        <x:v>VERILOG / RTL SOURCE MAP</x:v>
      </x:c>
      <x:c r="H2" s="4"/>
      <x:c r="I2" s="4"/>
    </x:row>
    <x:row r="3" ht="27" customHeight="1">
      <x:c r="A3" s="8" t="str">
        <x:v>695 HDL files  |  Files are pinned to reviewed commits. Each design copy retains its own cases.</x:v>
      </x:c>
      <x:c r="B3" s="8" t="str">
        <x:v>695 HDL files  |  Files are pinned to reviewed commits. Each design copy retains its own cases.</x:v>
      </x:c>
      <x:c r="C3" s="8" t="str">
        <x:v>695 HDL files  |  Files are pinned to reviewed commits. Each design copy retains its own cases.</x:v>
      </x:c>
      <x:c r="D3" s="8" t="str">
        <x:v>695 HDL files  |  Files are pinned to reviewed commits. Each design copy retains its own cases.</x:v>
      </x:c>
      <x:c r="E3" s="8" t="str">
        <x:v>695 HDL files  |  Files are pinned to reviewed commits. Each design copy retains its own cases.</x:v>
      </x:c>
      <x:c r="F3" s="8" t="str">
        <x:v>695 HDL files  |  Files are pinned to reviewed commits. Each design copy retains its own cases.</x:v>
      </x:c>
      <x:c r="G3" s="8" t="str">
        <x:v>695 HDL files  |  Files are pinned to reviewed commits. Each design copy retains its own cases.</x:v>
      </x:c>
      <x:c r="H3" s="4"/>
      <x:c r="I3" s="4"/>
    </x:row>
    <x:row r="4" ht="27" customHeight="1">
      <x:c r="A4" s="8" t="str">
        <x:v>A bench, support file or archive is not a completed test. Empty modules require implementation before functional verification.</x:v>
      </x:c>
      <x:c r="B4" s="8" t="str">
        <x:v>A bench, support file or archive is not a completed test. Empty modules require implementation before functional verification.</x:v>
      </x:c>
      <x:c r="C4" s="8" t="str">
        <x:v>A bench, support file or archive is not a completed test. Empty modules require implementation before functional verification.</x:v>
      </x:c>
      <x:c r="D4" s="8" t="str">
        <x:v>A bench, support file or archive is not a completed test. Empty modules require implementation before functional verification.</x:v>
      </x:c>
      <x:c r="E4" s="8" t="str">
        <x:v>A bench, support file or archive is not a completed test. Empty modules require implementation before functional verification.</x:v>
      </x:c>
      <x:c r="F4" s="8" t="str">
        <x:v>A bench, support file or archive is not a completed test. Empty modules require implementation before functional verification.</x:v>
      </x:c>
      <x:c r="G4" s="8" t="str">
        <x:v>A bench, support file or archive is not a completed test. Empty modules require implementation before functional verification.</x:v>
      </x:c>
      <x:c r="H4" s="4"/>
      <x:c r="I4" s="4"/>
    </x:row>
    <x:row r="5">
      <x:c r="A5" s="4"/>
      <x:c r="B5" s="4"/>
      <x:c r="C5" s="4"/>
      <x:c r="D5" s="4"/>
      <x:c r="E5" s="4"/>
      <x:c r="F5" s="4"/>
      <x:c r="G5" s="4"/>
      <x:c r="H5" s="4"/>
      <x:c r="I5" s="4"/>
    </x:row>
    <x:row r="6">
      <x:c r="A6" s="4"/>
      <x:c r="B6" s="4"/>
      <x:c r="C6" s="4"/>
      <x:c r="D6" s="4"/>
      <x:c r="E6" s="4"/>
      <x:c r="F6" s="4"/>
      <x:c r="G6" s="4"/>
      <x:c r="H6" s="4"/>
      <x:c r="I6" s="4"/>
    </x:row>
    <x:row r="7" ht="32" customHeight="1">
      <x:c r="A7" s="14" t="str">
        <x:v>Repository</x:v>
      </x:c>
      <x:c r="B7" s="14" t="str">
        <x:v>HDL path</x:v>
      </x:c>
      <x:c r="C7" s="14" t="str">
        <x:v>Role</x:v>
      </x:c>
      <x:c r="D7" s="14" t="str">
        <x:v>Module(s)</x:v>
      </x:c>
      <x:c r="E7" s="14" t="str">
        <x:v>Declared inputs</x:v>
      </x:c>
      <x:c r="F7" s="14" t="str">
        <x:v>Declared outputs</x:v>
      </x:c>
      <x:c r="G7" s="14" t="str">
        <x:v>Case IDs / treatment</x:v>
      </x:c>
      <x:c r="H7" s="14" t="str">
        <x:v>Reviewed source URL (copy)</x:v>
      </x:c>
      <x:c r="I7" s="14" t="str">
        <x:v>Reviewed commit</x:v>
      </x:c>
    </x:row>
    <x:row r="8" ht="54" customHeight="1">
      <x:c r="A8" s="4" t="str">
        <x:v>RamAndFifo</x:v>
      </x:c>
      <x:c r="B8" s="4" t="str">
        <x:v>individual/fifo/sync_fifo.v</x:v>
      </x:c>
      <x:c r="C8" s="4" t="str">
        <x:v>RTL</x:v>
      </x:c>
      <x:c r="D8" s="4" t="str">
        <x:v>sync_fifo</x:v>
      </x:c>
      <x:c r="E8" s="4" t="str">
        <x:v>clk, rst, wr_en, rd_en, wr_data</x:v>
      </x:c>
      <x:c r="F8" s="4" t="str">
        <x:v>rd_data, full, empty</x:v>
      </x:c>
      <x:c r="G8" s="4" t="str">
        <x:v>RF-009, RF-010, RF-011, RF-012, RF-013, RF-014, RF-015, RF-016, RF-017, RF-018, RF-019, RF-020, RF-047</x:v>
      </x:c>
      <x:c r="H8" s="25" t="str">
        <x:v>https://github.com/kapiltrip/RamAndFifo/blob/858ffb35bb31e70051ca25d6cb24e5aa5020bd41/individual/fifo/sync_fifo.v</x:v>
      </x:c>
      <x:c r="I8" s="4" t="str">
        <x:v>858ffb35bb31e70051ca25d6cb24e5aa5020bd41</x:v>
      </x:c>
    </x:row>
    <x:row r="9" ht="54" customHeight="1">
      <x:c r="A9" s="15" t="str">
        <x:v>RamAndFifo</x:v>
      </x:c>
      <x:c r="B9" s="15" t="str">
        <x:v>individual/fifo/tb_sync_fifo.v</x:v>
      </x:c>
      <x:c r="C9" s="15" t="str">
        <x:v>Existing testbench</x:v>
      </x:c>
      <x:c r="D9" s="15" t="str">
        <x:v>tb_sync_fifo</x:v>
      </x:c>
      <x:c r="E9" s="15" t="str">
        <x:v>message</x:v>
      </x:c>
      <x:c r="F9" s="15" t="str"/>
      <x:c r="G9" s="15" t="str">
        <x:v>Supporting evidence only; map assertions to case IDs before claiming coverage.</x:v>
      </x:c>
      <x:c r="H9" s="26" t="str">
        <x:v>https://github.com/kapiltrip/RamAndFifo/blob/858ffb35bb31e70051ca25d6cb24e5aa5020bd41/individual/fifo/tb_sync_fifo.v</x:v>
      </x:c>
      <x:c r="I9" s="15" t="str">
        <x:v>858ffb35bb31e70051ca25d6cb24e5aa5020bd41</x:v>
      </x:c>
    </x:row>
    <x:row r="10" ht="54" customHeight="1">
      <x:c r="A10" s="4" t="str">
        <x:v>RamAndFifo</x:v>
      </x:c>
      <x:c r="B10" s="4" t="str">
        <x:v>individual/ram/practice.v</x:v>
      </x:c>
      <x:c r="C10" s="4" t="str">
        <x:v>Practice draft</x:v>
      </x:c>
      <x:c r="D10" s="4" t="str">
        <x:v>ram</x:v>
      </x:c>
      <x:c r="E10" s="4" t="str">
        <x:v>clk, we, din, raddr, waddr</x:v>
      </x:c>
      <x:c r="F10" s="4" t="str">
        <x:v>dout</x:v>
      </x:c>
      <x:c r="G10" s="4" t="str">
        <x:v>RF-046</x:v>
      </x:c>
      <x:c r="H10" s="25" t="str">
        <x:v>https://github.com/kapiltrip/RamAndFifo/blob/858ffb35bb31e70051ca25d6cb24e5aa5020bd41/individual/ram/practice.v</x:v>
      </x:c>
      <x:c r="I10" s="4" t="str">
        <x:v>858ffb35bb31e70051ca25d6cb24e5aa5020bd41</x:v>
      </x:c>
    </x:row>
    <x:row r="11" ht="54" customHeight="1">
      <x:c r="A11" s="15" t="str">
        <x:v>RamAndFifo</x:v>
      </x:c>
      <x:c r="B11" s="15" t="str">
        <x:v>individual/ram/sync_ram.v</x:v>
      </x:c>
      <x:c r="C11" s="15" t="str">
        <x:v>RTL</x:v>
      </x:c>
      <x:c r="D11" s="15" t="str">
        <x:v>sync_ram</x:v>
      </x:c>
      <x:c r="E11" s="15" t="str">
        <x:v>clk, we, waddr, raddr, din</x:v>
      </x:c>
      <x:c r="F11" s="15" t="str">
        <x:v>dout</x:v>
      </x:c>
      <x:c r="G11" s="15" t="str">
        <x:v>RF-001, RF-002, RF-003, RF-004, RF-005, RF-006, RF-007, RF-008</x:v>
      </x:c>
      <x:c r="H11" s="26" t="str">
        <x:v>https://github.com/kapiltrip/RamAndFifo/blob/858ffb35bb31e70051ca25d6cb24e5aa5020bd41/individual/ram/sync_ram.v</x:v>
      </x:c>
      <x:c r="I11" s="15" t="str">
        <x:v>858ffb35bb31e70051ca25d6cb24e5aa5020bd41</x:v>
      </x:c>
    </x:row>
    <x:row r="12" ht="54" customHeight="1">
      <x:c r="A12" s="4" t="str">
        <x:v>RamAndFifo</x:v>
      </x:c>
      <x:c r="B12" s="4" t="str">
        <x:v>individual/ram/tb_sync_ram.v</x:v>
      </x:c>
      <x:c r="C12" s="4" t="str">
        <x:v>Existing testbench</x:v>
      </x:c>
      <x:c r="D12" s="4" t="str">
        <x:v>tb_sync_ram</x:v>
      </x:c>
      <x:c r="E12" s="4" t="str"/>
      <x:c r="F12" s="4" t="str"/>
      <x:c r="G12" s="4" t="str">
        <x:v>Supporting evidence only; map assertions to case IDs before claiming coverage.</x:v>
      </x:c>
      <x:c r="H12" s="25" t="str">
        <x:v>https://github.com/kapiltrip/RamAndFifo/blob/858ffb35bb31e70051ca25d6cb24e5aa5020bd41/individual/ram/tb_sync_ram.v</x:v>
      </x:c>
      <x:c r="I12" s="4" t="str">
        <x:v>858ffb35bb31e70051ca25d6cb24e5aa5020bd41</x:v>
      </x:c>
    </x:row>
    <x:row r="13" ht="54" customHeight="1">
      <x:c r="A13" s="15" t="str">
        <x:v>RamAndFifo</x:v>
      </x:c>
      <x:c r="B13" s="15" t="str">
        <x:v>integration/functional_coverage/fifo_functional_coverage.sv</x:v>
      </x:c>
      <x:c r="C13" s="15" t="str">
        <x:v>Verification support</x:v>
      </x:c>
      <x:c r="D13" s="15" t="str">
        <x:v>fifo_functional_coverage</x:v>
      </x:c>
      <x:c r="E13" s="15" t="str">
        <x:v>clk, rst, wr_en, rd_en, din, dout, full, empty</x:v>
      </x:c>
      <x:c r="F13" s="15" t="str"/>
      <x:c r="G13" s="15" t="str">
        <x:v>Supporting evidence only; map assertions to case IDs before claiming coverage.</x:v>
      </x:c>
      <x:c r="H13" s="26" t="str">
        <x:v>https://github.com/kapiltrip/RamAndFifo/blob/858ffb35bb31e70051ca25d6cb24e5aa5020bd41/integration/functional_coverage/fifo_functional_coverage.sv</x:v>
      </x:c>
      <x:c r="I13" s="15" t="str">
        <x:v>858ffb35bb31e70051ca25d6cb24e5aa5020bd41</x:v>
      </x:c>
    </x:row>
    <x:row r="14" ht="54" customHeight="1">
      <x:c r="A14" s="4" t="str">
        <x:v>RamAndFifo</x:v>
      </x:c>
      <x:c r="B14" s="4" t="str">
        <x:v>integration/functional_coverage/tb_internal_fifo_coverage.sv</x:v>
      </x:c>
      <x:c r="C14" s="4" t="str">
        <x:v>Existing testbench</x:v>
      </x:c>
      <x:c r="D14" s="4" t="str">
        <x:v>tb_internal_fifo_coverage</x:v>
      </x:c>
      <x:c r="E14" s="4" t="str"/>
      <x:c r="F14" s="4" t="str"/>
      <x:c r="G14" s="4" t="str">
        <x:v>Supporting evidence only; map assertions to case IDs before claiming coverage.</x:v>
      </x:c>
      <x:c r="H14" s="25" t="str">
        <x:v>https://github.com/kapiltrip/RamAndFifo/blob/858ffb35bb31e70051ca25d6cb24e5aa5020bd41/integration/functional_coverage/tb_internal_fifo_coverage.sv</x:v>
      </x:c>
      <x:c r="I14" s="4" t="str">
        <x:v>858ffb35bb31e70051ca25d6cb24e5aa5020bd41</x:v>
      </x:c>
    </x:row>
    <x:row r="15" ht="54" customHeight="1">
      <x:c r="A15" s="15" t="str">
        <x:v>RamAndFifo</x:v>
      </x:c>
      <x:c r="B15" s="15" t="str">
        <x:v>integration/functional_coverage/tb_ram_backed_fifo_coverage.sv</x:v>
      </x:c>
      <x:c r="C15" s="15" t="str">
        <x:v>Existing testbench</x:v>
      </x:c>
      <x:c r="D15" s="15" t="str">
        <x:v>tb_ram_backed_fifo_coverage</x:v>
      </x:c>
      <x:c r="E15" s="15" t="str"/>
      <x:c r="F15" s="15" t="str"/>
      <x:c r="G15" s="15" t="str">
        <x:v>Supporting evidence only; map assertions to case IDs before claiming coverage.</x:v>
      </x:c>
      <x:c r="H15" s="26" t="str">
        <x:v>https://github.com/kapiltrip/RamAndFifo/blob/858ffb35bb31e70051ca25d6cb24e5aa5020bd41/integration/functional_coverage/tb_ram_backed_fifo_coverage.sv</x:v>
      </x:c>
      <x:c r="I15" s="15" t="str">
        <x:v>858ffb35bb31e70051ca25d6cb24e5aa5020bd41</x:v>
      </x:c>
    </x:row>
    <x:row r="16" ht="54" customHeight="1">
      <x:c r="A16" s="4" t="str">
        <x:v>RamAndFifo</x:v>
      </x:c>
      <x:c r="B16" s="4" t="str">
        <x:v>integration/ram_and_fifo/rtl/archive/sync_fifo_ram_draft.v</x:v>
      </x:c>
      <x:c r="C16" s="4" t="str">
        <x:v>Archived reference</x:v>
      </x:c>
      <x:c r="D16" s="4" t="str">
        <x:v>sync_fifo_ram</x:v>
      </x:c>
      <x:c r="E16" s="4" t="str">
        <x:v>clk, rst, wr_en, rd_en, wr_data</x:v>
      </x:c>
      <x:c r="F16" s="4" t="str">
        <x:v>rd_data, full, empty</x:v>
      </x:c>
      <x:c r="G16" s="4" t="str">
        <x:v>Excluded from active build; review separately.</x:v>
      </x:c>
      <x:c r="H16" s="25" t="str">
        <x:v>https://github.com/kapiltrip/RamAndFifo/blob/858ffb35bb31e70051ca25d6cb24e5aa5020bd41/integration/ram_and_fifo/rtl/archive/sync_fifo_ram_draft.v</x:v>
      </x:c>
      <x:c r="I16" s="4" t="str">
        <x:v>858ffb35bb31e70051ca25d6cb24e5aa5020bd41</x:v>
      </x:c>
    </x:row>
    <x:row r="17" ht="54" customHeight="1">
      <x:c r="A17" s="15" t="str">
        <x:v>RamAndFifo</x:v>
      </x:c>
      <x:c r="B17" s="15" t="str">
        <x:v>integration/ram_and_fifo/rtl/syncFifo.v</x:v>
      </x:c>
      <x:c r="C17" s="15" t="str">
        <x:v>RTL</x:v>
      </x:c>
      <x:c r="D17" s="15" t="str">
        <x:v>syncFifo</x:v>
      </x:c>
      <x:c r="E17" s="15" t="str">
        <x:v>clk, rst, wren, rden, din</x:v>
      </x:c>
      <x:c r="F17" s="15" t="str">
        <x:v>dout, empty, full</x:v>
      </x:c>
      <x:c r="G17" s="15" t="str">
        <x:v>RF-033, RF-034, RF-035, RF-036, RF-037, RF-038, RF-039, RF-040, RF-041, RF-042, RF-043, RF-044</x:v>
      </x:c>
      <x:c r="H17" s="26" t="str">
        <x:v>https://github.com/kapiltrip/RamAndFifo/blob/858ffb35bb31e70051ca25d6cb24e5aa5020bd41/integration/ram_and_fifo/rtl/syncFifo.v</x:v>
      </x:c>
      <x:c r="I17" s="15" t="str">
        <x:v>858ffb35bb31e70051ca25d6cb24e5aa5020bd41</x:v>
      </x:c>
    </x:row>
    <x:row r="18" ht="54" customHeight="1">
      <x:c r="A18" s="4" t="str">
        <x:v>RamAndFifo</x:v>
      </x:c>
      <x:c r="B18" s="4" t="str">
        <x:v>integration/ram_and_fifo/rtl/sync_fifo_ram.v</x:v>
      </x:c>
      <x:c r="C18" s="4" t="str">
        <x:v>RTL</x:v>
      </x:c>
      <x:c r="D18" s="4" t="str">
        <x:v>sync_fifo_ram</x:v>
      </x:c>
      <x:c r="E18" s="4" t="str">
        <x:v>clk, rst, wr_en, rd_en, wr_data</x:v>
      </x:c>
      <x:c r="F18" s="4" t="str">
        <x:v>rd_data, full, empty</x:v>
      </x:c>
      <x:c r="G18" s="4" t="str">
        <x:v>RF-021, RF-022, RF-023, RF-024, RF-025, RF-026, RF-027, RF-028, RF-029, RF-030, RF-031, RF-032, RF-045</x:v>
      </x:c>
      <x:c r="H18" s="25" t="str">
        <x:v>https://github.com/kapiltrip/RamAndFifo/blob/858ffb35bb31e70051ca25d6cb24e5aa5020bd41/integration/ram_and_fifo/rtl/sync_fifo_ram.v</x:v>
      </x:c>
      <x:c r="I18" s="4" t="str">
        <x:v>858ffb35bb31e70051ca25d6cb24e5aa5020bd41</x:v>
      </x:c>
    </x:row>
    <x:row r="19" ht="54" customHeight="1">
      <x:c r="A19" s="15" t="str">
        <x:v>RamAndFifo</x:v>
      </x:c>
      <x:c r="B19" s="15" t="str">
        <x:v>integration/ram_and_fifo/tb/archive/async/tb_async_fifo_ram.v</x:v>
      </x:c>
      <x:c r="C19" s="15" t="str">
        <x:v>Archived reference</x:v>
      </x:c>
      <x:c r="D19" s="15" t="str">
        <x:v>tb_async_fifo_ram</x:v>
      </x:c>
      <x:c r="E19" s="15" t="str">
        <x:v>message</x:v>
      </x:c>
      <x:c r="F19" s="15" t="str"/>
      <x:c r="G19" s="15" t="str">
        <x:v>Excluded from active build; review separately.</x:v>
      </x:c>
      <x:c r="H19" s="26" t="str">
        <x:v>https://github.com/kapiltrip/RamAndFifo/blob/858ffb35bb31e70051ca25d6cb24e5aa5020bd41/integration/ram_and_fifo/tb/archive/async/tb_async_fifo_ram.v</x:v>
      </x:c>
      <x:c r="I19" s="15" t="str">
        <x:v>858ffb35bb31e70051ca25d6cb24e5aa5020bd41</x:v>
      </x:c>
    </x:row>
    <x:row r="20" ht="54" customHeight="1">
      <x:c r="A20" s="4" t="str">
        <x:v>RamAndFifo</x:v>
      </x:c>
      <x:c r="B20" s="4" t="str">
        <x:v>integration/ram_and_fifo/tb/archive/async/tb_dual_sensor_hub_top.v</x:v>
      </x:c>
      <x:c r="C20" s="4" t="str">
        <x:v>Archived reference</x:v>
      </x:c>
      <x:c r="D20" s="4" t="str">
        <x:v>tb_dual_sensor_hub_top</x:v>
      </x:c>
      <x:c r="E20" s="4" t="str">
        <x:v>message</x:v>
      </x:c>
      <x:c r="F20" s="4" t="str"/>
      <x:c r="G20" s="4" t="str">
        <x:v>Excluded from active build; review separately.</x:v>
      </x:c>
      <x:c r="H20" s="25" t="str">
        <x:v>https://github.com/kapiltrip/RamAndFifo/blob/858ffb35bb31e70051ca25d6cb24e5aa5020bd41/integration/ram_and_fifo/tb/archive/async/tb_dual_sensor_hub_top.v</x:v>
      </x:c>
      <x:c r="I20" s="4" t="str">
        <x:v>858ffb35bb31e70051ca25d6cb24e5aa5020bd41</x:v>
      </x:c>
    </x:row>
    <x:row r="21" ht="54" customHeight="1">
      <x:c r="A21" s="15" t="str">
        <x:v>RamAndFifo</x:v>
      </x:c>
      <x:c r="B21" s="15" t="str">
        <x:v>integration/ram_and_fifo/tb/archive/async/tb_sensor_event_logger_top.v</x:v>
      </x:c>
      <x:c r="C21" s="15" t="str">
        <x:v>Archived reference</x:v>
      </x:c>
      <x:c r="D21" s="15" t="str">
        <x:v>tb_sensor_event_logger_top</x:v>
      </x:c>
      <x:c r="E21" s="15" t="str">
        <x:v>message</x:v>
      </x:c>
      <x:c r="F21" s="15" t="str"/>
      <x:c r="G21" s="15" t="str">
        <x:v>Excluded from active build; review separately.</x:v>
      </x:c>
      <x:c r="H21" s="26" t="str">
        <x:v>https://github.com/kapiltrip/RamAndFifo/blob/858ffb35bb31e70051ca25d6cb24e5aa5020bd41/integration/ram_and_fifo/tb/archive/async/tb_sensor_event_logger_top.v</x:v>
      </x:c>
      <x:c r="I21" s="15" t="str">
        <x:v>858ffb35bb31e70051ca25d6cb24e5aa5020bd41</x:v>
      </x:c>
    </x:row>
    <x:row r="22" ht="54" customHeight="1">
      <x:c r="A22" s="4" t="str">
        <x:v>RamAndFifo</x:v>
      </x:c>
      <x:c r="B22" s="4" t="str">
        <x:v>integration/ram_and_fifo/tb/archive/async/tb_sensor_rate_match_top.v</x:v>
      </x:c>
      <x:c r="C22" s="4" t="str">
        <x:v>Archived reference</x:v>
      </x:c>
      <x:c r="D22" s="4" t="str">
        <x:v>tb_sensor_rate_match_top</x:v>
      </x:c>
      <x:c r="E22" s="4" t="str">
        <x:v>message</x:v>
      </x:c>
      <x:c r="F22" s="4" t="str">
        <x:v>sample</x:v>
      </x:c>
      <x:c r="G22" s="4" t="str">
        <x:v>Excluded from active build; review separately.</x:v>
      </x:c>
      <x:c r="H22" s="25" t="str">
        <x:v>https://github.com/kapiltrip/RamAndFifo/blob/858ffb35bb31e70051ca25d6cb24e5aa5020bd41/integration/ram_and_fifo/tb/archive/async/tb_sensor_rate_match_top.v</x:v>
      </x:c>
      <x:c r="I22" s="4" t="str">
        <x:v>858ffb35bb31e70051ca25d6cb24e5aa5020bd41</x:v>
      </x:c>
    </x:row>
    <x:row r="23" ht="54" customHeight="1">
      <x:c r="A23" s="15" t="str">
        <x:v>RamAndFifo</x:v>
      </x:c>
      <x:c r="B23" s="15" t="str">
        <x:v>integration/ram_and_fifo/tb/archive/sync/tb_sync_fifo_ram_legacy.v</x:v>
      </x:c>
      <x:c r="C23" s="15" t="str">
        <x:v>Archived reference</x:v>
      </x:c>
      <x:c r="D23" s="15" t="str">
        <x:v>tb_sync_fifo_ram</x:v>
      </x:c>
      <x:c r="E23" s="15" t="str">
        <x:v>message</x:v>
      </x:c>
      <x:c r="F23" s="15" t="str"/>
      <x:c r="G23" s="15" t="str">
        <x:v>Excluded from active build; review separately.</x:v>
      </x:c>
      <x:c r="H23" s="26" t="str">
        <x:v>https://github.com/kapiltrip/RamAndFifo/blob/858ffb35bb31e70051ca25d6cb24e5aa5020bd41/integration/ram_and_fifo/tb/archive/sync/tb_sync_fifo_ram_legacy.v</x:v>
      </x:c>
      <x:c r="I23" s="15" t="str">
        <x:v>858ffb35bb31e70051ca25d6cb24e5aa5020bd41</x:v>
      </x:c>
    </x:row>
    <x:row r="24" ht="54" customHeight="1">
      <x:c r="A24" s="4" t="str">
        <x:v>RamAndFifo</x:v>
      </x:c>
      <x:c r="B24" s="4" t="str">
        <x:v>integration/ram_and_fifo/tb/tb_syncFifo.v</x:v>
      </x:c>
      <x:c r="C24" s="4" t="str">
        <x:v>Existing testbench</x:v>
      </x:c>
      <x:c r="D24" s="4" t="str">
        <x:v>tb_syncFifo</x:v>
      </x:c>
      <x:c r="E24" s="4" t="str">
        <x:v>message</x:v>
      </x:c>
      <x:c r="F24" s="4" t="str"/>
      <x:c r="G24" s="4" t="str">
        <x:v>Supporting evidence only; map assertions to case IDs before claiming coverage.</x:v>
      </x:c>
      <x:c r="H24" s="25" t="str">
        <x:v>https://github.com/kapiltrip/RamAndFifo/blob/858ffb35bb31e70051ca25d6cb24e5aa5020bd41/integration/ram_and_fifo/tb/tb_syncFifo.v</x:v>
      </x:c>
      <x:c r="I24" s="4" t="str">
        <x:v>858ffb35bb31e70051ca25d6cb24e5aa5020bd41</x:v>
      </x:c>
    </x:row>
    <x:row r="25" ht="54" customHeight="1">
      <x:c r="A25" s="15" t="str">
        <x:v>RamAndFifo</x:v>
      </x:c>
      <x:c r="B25" s="15" t="str">
        <x:v>integration/ram_and_fifo/tb/tb_sync_fifo_ram.v</x:v>
      </x:c>
      <x:c r="C25" s="15" t="str">
        <x:v>Existing testbench</x:v>
      </x:c>
      <x:c r="D25" s="15" t="str">
        <x:v>tb_sync_fifo_ram</x:v>
      </x:c>
      <x:c r="E25" s="15" t="str">
        <x:v>condition, message, data, expected</x:v>
      </x:c>
      <x:c r="F25" s="15" t="str">
        <x:v>order</x:v>
      </x:c>
      <x:c r="G25" s="15" t="str">
        <x:v>Supporting evidence only; map assertions to case IDs before claiming coverage.</x:v>
      </x:c>
      <x:c r="H25" s="26" t="str">
        <x:v>https://github.com/kapiltrip/RamAndFifo/blob/858ffb35bb31e70051ca25d6cb24e5aa5020bd41/integration/ram_and_fifo/tb/tb_sync_fifo_ram.v</x:v>
      </x:c>
      <x:c r="I25" s="15" t="str">
        <x:v>858ffb35bb31e70051ca25d6cb24e5aa5020bd41</x:v>
      </x:c>
    </x:row>
    <x:row r="26" ht="54" customHeight="1">
      <x:c r="A26" s="4" t="str">
        <x:v>AsynchronousFifo</x:v>
      </x:c>
      <x:c r="B26" s="4" t="str">
        <x:v>async_fifo.v</x:v>
      </x:c>
      <x:c r="C26" s="4" t="str">
        <x:v>RTL</x:v>
      </x:c>
      <x:c r="D26" s="4" t="str">
        <x:v>async_fifo</x:v>
      </x:c>
      <x:c r="E26" s="4" t="str">
        <x:v>wr_clk, wr_rst, wr_en, din, rd_clk, rd_rst, rd_en</x:v>
      </x:c>
      <x:c r="F26" s="4" t="str">
        <x:v>full, dout, empty</x:v>
      </x:c>
      <x:c r="G26" s="4" t="str">
        <x:v>AF-001, AF-002, AF-003, AF-004, AF-005, AF-006, AF-007, AF-008, AF-009, AF-010, AF-011, AF-012, AF-013, AF-014, AF-018</x:v>
      </x:c>
      <x:c r="H26" s="25" t="str">
        <x:v>https://github.com/kapiltrip/AsynchronousFifo/blob/a60bcd212928103b2d81d8f2d4eae248ea2e3468/async_fifo.v</x:v>
      </x:c>
      <x:c r="I26" s="4" t="str">
        <x:v>a60bcd212928103b2d81d8f2d4eae248ea2e3468</x:v>
      </x:c>
    </x:row>
    <x:row r="27" ht="54" customHeight="1">
      <x:c r="A27" s="15" t="str">
        <x:v>AsynchronousFifo</x:v>
      </x:c>
      <x:c r="B27" s="15" t="str">
        <x:v>async_fifo_tb.v</x:v>
      </x:c>
      <x:c r="C27" s="15" t="str">
        <x:v>Existing testbench</x:v>
      </x:c>
      <x:c r="D27" s="15" t="str">
        <x:v>async_fifo_tb</x:v>
      </x:c>
      <x:c r="E27" s="15" t="str">
        <x:v>value, expected</x:v>
      </x:c>
      <x:c r="F27" s="15" t="str"/>
      <x:c r="G27" s="15" t="str">
        <x:v>Supporting evidence only; map assertions to case IDs before claiming coverage.</x:v>
      </x:c>
      <x:c r="H27" s="26" t="str">
        <x:v>https://github.com/kapiltrip/AsynchronousFifo/blob/a60bcd212928103b2d81d8f2d4eae248ea2e3468/async_fifo_tb.v</x:v>
      </x:c>
      <x:c r="I27" s="15" t="str">
        <x:v>a60bcd212928103b2d81d8f2d4eae248ea2e3468</x:v>
      </x:c>
    </x:row>
    <x:row r="28" ht="54" customHeight="1">
      <x:c r="A28" s="4" t="str">
        <x:v>AsynchronousFifo</x:v>
      </x:c>
      <x:c r="B28" s="4" t="str">
        <x:v>mealy_1101_detector.v</x:v>
      </x:c>
      <x:c r="C28" s="4" t="str">
        <x:v>RTL</x:v>
      </x:c>
      <x:c r="D28" s="4" t="str">
        <x:v>mealy_1101_detector</x:v>
      </x:c>
      <x:c r="E28" s="4" t="str">
        <x:v>clk, reset, data_in</x:v>
      </x:c>
      <x:c r="F28" s="4" t="str">
        <x:v>detected</x:v>
      </x:c>
      <x:c r="G28" s="4" t="str">
        <x:v>AF-015, AF-016, AF-017</x:v>
      </x:c>
      <x:c r="H28" s="25" t="str">
        <x:v>https://github.com/kapiltrip/AsynchronousFifo/blob/a60bcd212928103b2d81d8f2d4eae248ea2e3468/mealy_1101_detector.v</x:v>
      </x:c>
      <x:c r="I28" s="4" t="str">
        <x:v>a60bcd212928103b2d81d8f2d4eae248ea2e3468</x:v>
      </x:c>
    </x:row>
    <x:row r="29" ht="54" customHeight="1">
      <x:c r="A29" s="15" t="str">
        <x:v>AsynchronousFifo</x:v>
      </x:c>
      <x:c r="B29" s="15" t="str">
        <x:v>mealy_1101_detector_tb.v</x:v>
      </x:c>
      <x:c r="C29" s="15" t="str">
        <x:v>Existing testbench</x:v>
      </x:c>
      <x:c r="D29" s="15" t="str">
        <x:v>mealy_1101_detector_tb</x:v>
      </x:c>
      <x:c r="E29" s="15" t="str">
        <x:v>stimulus_bit, expected_detected, expected_state_after_edge</x:v>
      </x:c>
      <x:c r="F29" s="15" t="str"/>
      <x:c r="G29" s="15" t="str">
        <x:v>Supporting evidence only; map assertions to case IDs before claiming coverage.</x:v>
      </x:c>
      <x:c r="H29" s="26" t="str">
        <x:v>https://github.com/kapiltrip/AsynchronousFifo/blob/a60bcd212928103b2d81d8f2d4eae248ea2e3468/mealy_1101_detector_tb.v</x:v>
      </x:c>
      <x:c r="I29" s="15" t="str">
        <x:v>a60bcd212928103b2d81d8f2d4eae248ea2e3468</x:v>
      </x:c>
    </x:row>
    <x:row r="30" ht="54" customHeight="1">
      <x:c r="A30" s="4" t="str">
        <x:v>AsynchronousFifo</x:v>
      </x:c>
      <x:c r="B30" s="4" t="str">
        <x:v>practice.v</x:v>
      </x:c>
      <x:c r="C30" s="4" t="str">
        <x:v>Verification example</x:v>
      </x:c>
      <x:c r="D30" s="4" t="str">
        <x:v>(incomplete/no module)</x:v>
      </x:c>
      <x:c r="E30" s="4" t="str"/>
      <x:c r="F30" s="4" t="str"/>
      <x:c r="G30" s="4" t="str">
        <x:v>Supporting evidence only; map assertions to case IDs before claiming coverage.</x:v>
      </x:c>
      <x:c r="H30" s="25" t="str">
        <x:v>https://github.com/kapiltrip/AsynchronousFifo/blob/a60bcd212928103b2d81d8f2d4eae248ea2e3468/practice.v</x:v>
      </x:c>
      <x:c r="I30" s="4" t="str">
        <x:v>a60bcd212928103b2d81d8f2d4eae248ea2e3468</x:v>
      </x:c>
    </x:row>
    <x:row r="31" ht="54" customHeight="1">
      <x:c r="A31" s="15" t="str">
        <x:v>UART-</x:v>
      </x:c>
      <x:c r="B31" s="15" t="str">
        <x:v>rtlCode/baud_rate_generator.v</x:v>
      </x:c>
      <x:c r="C31" s="15" t="str">
        <x:v>RTL</x:v>
      </x:c>
      <x:c r="D31" s="15" t="str">
        <x:v>baud_rate_generator</x:v>
      </x:c>
      <x:c r="E31" s="15" t="str">
        <x:v>clk, reset</x:v>
      </x:c>
      <x:c r="F31" s="15" t="str">
        <x:v>tx_en, rx_en</x:v>
      </x:c>
      <x:c r="G31" s="15" t="str">
        <x:v>UART-013, UART-014, UART-015, UART-016, UART-042</x:v>
      </x:c>
      <x:c r="H31" s="26" t="str">
        <x:v>https://github.com/kapiltrip/UART-/blob/5f65f99cf43ed317f18874503046f994d5038c65/rtlCode/baud_rate_generator.v</x:v>
      </x:c>
      <x:c r="I31" s="15" t="str">
        <x:v>5f65f99cf43ed317f18874503046f994d5038c65</x:v>
      </x:c>
    </x:row>
    <x:row r="32" ht="54" customHeight="1">
      <x:c r="A32" s="4" t="str">
        <x:v>UART-</x:v>
      </x:c>
      <x:c r="B32" s="4" t="str">
        <x:v>rtlCode/uart_fifo.v</x:v>
      </x:c>
      <x:c r="C32" s="4" t="str">
        <x:v>RTL</x:v>
      </x:c>
      <x:c r="D32" s="4" t="str">
        <x:v>uart_fifo</x:v>
      </x:c>
      <x:c r="E32" s="4" t="str">
        <x:v>clk, reset, wr_en, wr_data, rd_en</x:v>
      </x:c>
      <x:c r="F32" s="4" t="str">
        <x:v>full, rd_data, empty</x:v>
      </x:c>
      <x:c r="G32" s="4" t="str">
        <x:v>UART-001, UART-002, UART-003, UART-004, UART-005, UART-006, UART-007, UART-008, UART-009, UART-010, UART-011, UART-012</x:v>
      </x:c>
      <x:c r="H32" s="25" t="str">
        <x:v>https://github.com/kapiltrip/UART-/blob/5f65f99cf43ed317f18874503046f994d5038c65/rtlCode/uart_fifo.v</x:v>
      </x:c>
      <x:c r="I32" s="4" t="str">
        <x:v>5f65f99cf43ed317f18874503046f994d5038c65</x:v>
      </x:c>
    </x:row>
    <x:row r="33" ht="54" customHeight="1">
      <x:c r="A33" s="15" t="str">
        <x:v>UART-</x:v>
      </x:c>
      <x:c r="B33" s="15" t="str">
        <x:v>rtlCode/uart_receiver.v</x:v>
      </x:c>
      <x:c r="C33" s="15" t="str">
        <x:v>RTL</x:v>
      </x:c>
      <x:c r="D33" s="15" t="str">
        <x:v>uart_receiver</x:v>
      </x:c>
      <x:c r="E33" s="15" t="str">
        <x:v>clk, rst, rx, rdy_clr, rx_en</x:v>
      </x:c>
      <x:c r="F33" s="15" t="str">
        <x:v>rdy, data_out</x:v>
      </x:c>
      <x:c r="G33" s="15" t="str">
        <x:v>UART-025, UART-026, UART-027, UART-028, UART-029, UART-030, UART-031, UART-032, UART-033</x:v>
      </x:c>
      <x:c r="H33" s="26" t="str">
        <x:v>https://github.com/kapiltrip/UART-/blob/5f65f99cf43ed317f18874503046f994d5038c65/rtlCode/uart_receiver.v</x:v>
      </x:c>
      <x:c r="I33" s="15" t="str">
        <x:v>5f65f99cf43ed317f18874503046f994d5038c65</x:v>
      </x:c>
    </x:row>
    <x:row r="34" ht="54" customHeight="1">
      <x:c r="A34" s="4" t="str">
        <x:v>UART-</x:v>
      </x:c>
      <x:c r="B34" s="4" t="str">
        <x:v>rtlCode/uart_sender.v</x:v>
      </x:c>
      <x:c r="C34" s="4" t="str">
        <x:v>RTL</x:v>
      </x:c>
      <x:c r="D34" s="4" t="str">
        <x:v>uart_sender</x:v>
      </x:c>
      <x:c r="E34" s="4" t="str">
        <x:v>clk, rst, wr_en, tx_en, data_in</x:v>
      </x:c>
      <x:c r="F34" s="4" t="str">
        <x:v>tx, busy</x:v>
      </x:c>
      <x:c r="G34" s="4" t="str">
        <x:v>UART-017, UART-018, UART-019, UART-020, UART-021, UART-022, UART-023, UART-024</x:v>
      </x:c>
      <x:c r="H34" s="25" t="str">
        <x:v>https://github.com/kapiltrip/UART-/blob/5f65f99cf43ed317f18874503046f994d5038c65/rtlCode/uart_sender.v</x:v>
      </x:c>
      <x:c r="I34" s="4" t="str">
        <x:v>5f65f99cf43ed317f18874503046f994d5038c65</x:v>
      </x:c>
    </x:row>
    <x:row r="35" ht="54" customHeight="1">
      <x:c r="A35" s="15" t="str">
        <x:v>UART-</x:v>
      </x:c>
      <x:c r="B35" s="15" t="str">
        <x:v>rtlCode/uart_top.v</x:v>
      </x:c>
      <x:c r="C35" s="15" t="str">
        <x:v>RTL</x:v>
      </x:c>
      <x:c r="D35" s="15" t="str">
        <x:v>uart_top</x:v>
      </x:c>
      <x:c r="E35" s="15" t="str">
        <x:v>clk, reset, data_in, wr_en, rdy_clr</x:v>
      </x:c>
      <x:c r="F35" s="15" t="str">
        <x:v>rdy, busy, data_out</x:v>
      </x:c>
      <x:c r="G35" s="15" t="str">
        <x:v>UART-034, UART-035, UART-036, UART-037, UART-038, UART-039, UART-040, UART-041</x:v>
      </x:c>
      <x:c r="H35" s="26" t="str">
        <x:v>https://github.com/kapiltrip/UART-/blob/5f65f99cf43ed317f18874503046f994d5038c65/rtlCode/uart_top.v</x:v>
      </x:c>
      <x:c r="I35" s="15" t="str">
        <x:v>5f65f99cf43ed317f18874503046f994d5038c65</x:v>
      </x:c>
    </x:row>
    <x:row r="36" ht="54" customHeight="1">
      <x:c r="A36" s="4" t="str">
        <x:v>UART-</x:v>
      </x:c>
      <x:c r="B36" s="4" t="str">
        <x:v>rtlCode/uart_top_tb.v</x:v>
      </x:c>
      <x:c r="C36" s="4" t="str">
        <x:v>Existing testbench</x:v>
      </x:c>
      <x:c r="D36" s="4" t="str">
        <x:v>uart_top_tb</x:v>
      </x:c>
      <x:c r="E36" s="4" t="str">
        <x:v>condition, message, d, exp</x:v>
      </x:c>
      <x:c r="F36" s="4" t="str"/>
      <x:c r="G36" s="4" t="str">
        <x:v>Supporting evidence only; map assertions to case IDs before claiming coverage.</x:v>
      </x:c>
      <x:c r="H36" s="25" t="str">
        <x:v>https://github.com/kapiltrip/UART-/blob/5f65f99cf43ed317f18874503046f994d5038c65/rtlCode/uart_top_tb.v</x:v>
      </x:c>
      <x:c r="I36" s="4" t="str">
        <x:v>5f65f99cf43ed317f18874503046f994d5038c65</x:v>
      </x:c>
    </x:row>
    <x:row r="37" ht="54" customHeight="1">
      <x:c r="A37" s="15" t="str">
        <x:v>UART-legacy</x:v>
      </x:c>
      <x:c r="B37" s="15" t="str">
        <x:v>baud_rate_generator.v</x:v>
      </x:c>
      <x:c r="C37" s="15" t="str">
        <x:v>RTL</x:v>
      </x:c>
      <x:c r="D37" s="15" t="str">
        <x:v>baud_rate_generator</x:v>
      </x:c>
      <x:c r="E37" s="15" t="str">
        <x:v>clk, rst</x:v>
      </x:c>
      <x:c r="F37" s="15" t="str">
        <x:v>tx_en, rx_en</x:v>
      </x:c>
      <x:c r="G37" s="15" t="str">
        <x:v>UL-001, UL-002, UL-003, UL-004, UL-024</x:v>
      </x:c>
      <x:c r="H37" s="26" t="str">
        <x:v>https://github.com/kapiltrip/UART-legacy/blob/28d439c91eca72edba0ce269ba01812ad02c2900/baud_rate_generator.v</x:v>
      </x:c>
      <x:c r="I37" s="15" t="str">
        <x:v>28d439c91eca72edba0ce269ba01812ad02c2900</x:v>
      </x:c>
    </x:row>
    <x:row r="38" ht="54" customHeight="1">
      <x:c r="A38" s="4" t="str">
        <x:v>UART-legacy</x:v>
      </x:c>
      <x:c r="B38" s="4" t="str">
        <x:v>transmitter.v</x:v>
      </x:c>
      <x:c r="C38" s="4" t="str">
        <x:v>RTL</x:v>
      </x:c>
      <x:c r="D38" s="4" t="str">
        <x:v>transmitter</x:v>
      </x:c>
      <x:c r="E38" s="4" t="str">
        <x:v>clk, wr_en, rst, data_in, tx_en</x:v>
      </x:c>
      <x:c r="F38" s="4" t="str">
        <x:v>tx, busy</x:v>
      </x:c>
      <x:c r="G38" s="4" t="str">
        <x:v>UL-005, UL-006, UL-007, UL-008, UL-009, UL-010, UL-011, UL-012</x:v>
      </x:c>
      <x:c r="H38" s="25" t="str">
        <x:v>https://github.com/kapiltrip/UART-legacy/blob/28d439c91eca72edba0ce269ba01812ad02c2900/transmitter.v</x:v>
      </x:c>
      <x:c r="I38" s="4" t="str">
        <x:v>28d439c91eca72edba0ce269ba01812ad02c2900</x:v>
      </x:c>
    </x:row>
    <x:row r="39" ht="54" customHeight="1">
      <x:c r="A39" s="15" t="str">
        <x:v>UART-legacy</x:v>
      </x:c>
      <x:c r="B39" s="15" t="str">
        <x:v>uart_receiver.v</x:v>
      </x:c>
      <x:c r="C39" s="15" t="str">
        <x:v>RTL</x:v>
      </x:c>
      <x:c r="D39" s="15" t="str">
        <x:v>uart_receiver</x:v>
      </x:c>
      <x:c r="E39" s="15" t="str">
        <x:v>clk, rst, rx, rdy_clr, rx_en</x:v>
      </x:c>
      <x:c r="F39" s="15" t="str">
        <x:v>rdy, data_out</x:v>
      </x:c>
      <x:c r="G39" s="15" t="str">
        <x:v>UL-013, UL-014, UL-015, UL-016, UL-017, UL-018, UL-019, UL-020, UL-021</x:v>
      </x:c>
      <x:c r="H39" s="26" t="str">
        <x:v>https://github.com/kapiltrip/UART-legacy/blob/28d439c91eca72edba0ce269ba01812ad02c2900/uart_receiver.v</x:v>
      </x:c>
      <x:c r="I39" s="15" t="str">
        <x:v>28d439c91eca72edba0ce269ba01812ad02c2900</x:v>
      </x:c>
    </x:row>
    <x:row r="40" ht="54" customHeight="1">
      <x:c r="A40" s="4" t="str">
        <x:v>UART-legacy</x:v>
      </x:c>
      <x:c r="B40" s="4" t="str">
        <x:v>uart_tb.v</x:v>
      </x:c>
      <x:c r="C40" s="4" t="str">
        <x:v>Existing testbench</x:v>
      </x:c>
      <x:c r="D40" s="4" t="str">
        <x:v>uart_tb</x:v>
      </x:c>
      <x:c r="E40" s="4" t="str"/>
      <x:c r="F40" s="4" t="str"/>
      <x:c r="G40" s="4" t="str">
        <x:v>Supporting evidence only; map assertions to case IDs before claiming coverage.</x:v>
      </x:c>
      <x:c r="H40" s="25" t="str">
        <x:v>https://github.com/kapiltrip/UART-legacy/blob/28d439c91eca72edba0ce269ba01812ad02c2900/uart_tb.v</x:v>
      </x:c>
      <x:c r="I40" s="4" t="str">
        <x:v>28d439c91eca72edba0ce269ba01812ad02c2900</x:v>
      </x:c>
    </x:row>
    <x:row r="41" ht="54" customHeight="1">
      <x:c r="A41" s="15" t="str">
        <x:v>UART-legacy</x:v>
      </x:c>
      <x:c r="B41" s="15" t="str">
        <x:v>uart_top_tb.v</x:v>
      </x:c>
      <x:c r="C41" s="15" t="str">
        <x:v>Existing testbench</x:v>
      </x:c>
      <x:c r="D41" s="15" t="str">
        <x:v>uart_top_tb</x:v>
      </x:c>
      <x:c r="E41" s="15" t="str">
        <x:v>clk, rst, data_in, wr_en, rdy_clr</x:v>
      </x:c>
      <x:c r="F41" s="15" t="str">
        <x:v>ready, busy, data_out</x:v>
      </x:c>
      <x:c r="G41" s="15" t="str">
        <x:v>UL-022, UL-023</x:v>
      </x:c>
      <x:c r="H41" s="26" t="str">
        <x:v>https://github.com/kapiltrip/UART-legacy/blob/28d439c91eca72edba0ce269ba01812ad02c2900/uart_top_tb.v</x:v>
      </x:c>
      <x:c r="I41" s="15" t="str">
        <x:v>28d439c91eca72edba0ce269ba01812ad02c2900</x:v>
      </x:c>
    </x:row>
    <x:row r="42" ht="54" customHeight="1">
      <x:c r="A42" s="4" t="str">
        <x:v>DesignProject</x:v>
      </x:c>
      <x:c r="B42" s="4" t="str">
        <x:v>eda_playground/assert_fifo_ram.sv</x:v>
      </x:c>
      <x:c r="C42" s="4" t="str">
        <x:v>Verification support</x:v>
      </x:c>
      <x:c r="D42" s="4" t="str">
        <x:v>assert_fifo_ram</x:v>
      </x:c>
      <x:c r="E42" s="4" t="str">
        <x:v>clk, rst, wr_en, rd_en, wr_data, rd_data, full, empty, wr_ptr, rd_ptr, fifo_count, do_write, do_read</x:v>
      </x:c>
      <x:c r="F42" s="4" t="str"/>
      <x:c r="G42" s="4" t="str">
        <x:v>Supporting evidence only; map assertions to case IDs before claiming coverage.</x:v>
      </x:c>
      <x:c r="H42" s="25" t="str">
        <x:v>https://github.com/kapiltrip/DesignProject/blob/445e9ecfeab646f3c08a43b2e9bdc5fcb89950f4/eda_playground/assert_fifo_ram.sv</x:v>
      </x:c>
      <x:c r="I42" s="4" t="str">
        <x:v>445e9ecfeab646f3c08a43b2e9bdc5fcb89950f4</x:v>
      </x:c>
    </x:row>
    <x:row r="43" ht="54" customHeight="1">
      <x:c r="A43" s="15" t="str">
        <x:v>DesignProject</x:v>
      </x:c>
      <x:c r="B43" s="15" t="str">
        <x:v>eda_playground/buggy_designs/design_issue1_reset_count_not_cleared.sv</x:v>
      </x:c>
      <x:c r="C43" s="15" t="str">
        <x:v>Intentional fault fixture</x:v>
      </x:c>
      <x:c r="D43" s="15" t="str">
        <x:v>sync_ram, sync_fifo, sync_fifo_ram</x:v>
      </x:c>
      <x:c r="E43" s="15" t="str">
        <x:v>clk, we, waddr, raddr, din, rst, wr_en, rd_en, wr_data</x:v>
      </x:c>
      <x:c r="F43" s="15" t="str">
        <x:v>dout, rd_data, full, empty</x:v>
      </x:c>
      <x:c r="G43" s="15" t="str">
        <x:v>DP-033</x:v>
      </x:c>
      <x:c r="H43" s="26" t="str">
        <x:v>https://github.com/kapiltrip/DesignProject/blob/445e9ecfeab646f3c08a43b2e9bdc5fcb89950f4/eda_playground/buggy_designs/design_issue1_reset_count_not_cleared.sv</x:v>
      </x:c>
      <x:c r="I43" s="15" t="str">
        <x:v>445e9ecfeab646f3c08a43b2e9bdc5fcb89950f4</x:v>
      </x:c>
    </x:row>
    <x:row r="44" ht="54" customHeight="1">
      <x:c r="A44" s="4" t="str">
        <x:v>DesignProject</x:v>
      </x:c>
      <x:c r="B44" s="4" t="str">
        <x:v>eda_playground/buggy_designs/design_issue2_read_while_empty.sv</x:v>
      </x:c>
      <x:c r="C44" s="4" t="str">
        <x:v>Intentional fault fixture</x:v>
      </x:c>
      <x:c r="D44" s="4" t="str">
        <x:v>sync_ram, sync_fifo, sync_fifo_ram</x:v>
      </x:c>
      <x:c r="E44" s="4" t="str">
        <x:v>clk, we, waddr, raddr, din, rst, wr_en, rd_en, wr_data</x:v>
      </x:c>
      <x:c r="F44" s="4" t="str">
        <x:v>dout, rd_data, full, empty</x:v>
      </x:c>
      <x:c r="G44" s="4" t="str">
        <x:v>DP-034</x:v>
      </x:c>
      <x:c r="H44" s="25" t="str">
        <x:v>https://github.com/kapiltrip/DesignProject/blob/445e9ecfeab646f3c08a43b2e9bdc5fcb89950f4/eda_playground/buggy_designs/design_issue2_read_while_empty.sv</x:v>
      </x:c>
      <x:c r="I44" s="4" t="str">
        <x:v>445e9ecfeab646f3c08a43b2e9bdc5fcb89950f4</x:v>
      </x:c>
    </x:row>
    <x:row r="45" ht="54" customHeight="1">
      <x:c r="A45" s="15" t="str">
        <x:v>DesignProject</x:v>
      </x:c>
      <x:c r="B45" s="15" t="str">
        <x:v>eda_playground/buggy_designs/design_issue3_full_flag_early.sv</x:v>
      </x:c>
      <x:c r="C45" s="15" t="str">
        <x:v>Intentional fault fixture</x:v>
      </x:c>
      <x:c r="D45" s="15" t="str">
        <x:v>sync_ram, sync_fifo, sync_fifo_ram</x:v>
      </x:c>
      <x:c r="E45" s="15" t="str">
        <x:v>clk, we, waddr, raddr, din, rst, wr_en, rd_en, wr_data</x:v>
      </x:c>
      <x:c r="F45" s="15" t="str">
        <x:v>dout, rd_data, full, empty</x:v>
      </x:c>
      <x:c r="G45" s="15" t="str">
        <x:v>DP-035</x:v>
      </x:c>
      <x:c r="H45" s="26" t="str">
        <x:v>https://github.com/kapiltrip/DesignProject/blob/445e9ecfeab646f3c08a43b2e9bdc5fcb89950f4/eda_playground/buggy_designs/design_issue3_full_flag_early.sv</x:v>
      </x:c>
      <x:c r="I45" s="15" t="str">
        <x:v>445e9ecfeab646f3c08a43b2e9bdc5fcb89950f4</x:v>
      </x:c>
    </x:row>
    <x:row r="46" ht="54" customHeight="1">
      <x:c r="A46" s="4" t="str">
        <x:v>DesignProject</x:v>
      </x:c>
      <x:c r="B46" s="4" t="str">
        <x:v>eda_playground/buggy_designs/design_issue4_empty_flag_early.sv</x:v>
      </x:c>
      <x:c r="C46" s="4" t="str">
        <x:v>Intentional fault fixture</x:v>
      </x:c>
      <x:c r="D46" s="4" t="str">
        <x:v>sync_ram, sync_fifo, sync_fifo_ram</x:v>
      </x:c>
      <x:c r="E46" s="4" t="str">
        <x:v>clk, we, waddr, raddr, din, rst, wr_en, rd_en, wr_data</x:v>
      </x:c>
      <x:c r="F46" s="4" t="str">
        <x:v>dout, rd_data, full, empty</x:v>
      </x:c>
      <x:c r="G46" s="4" t="str">
        <x:v>DP-036</x:v>
      </x:c>
      <x:c r="H46" s="25" t="str">
        <x:v>https://github.com/kapiltrip/DesignProject/blob/445e9ecfeab646f3c08a43b2e9bdc5fcb89950f4/eda_playground/buggy_designs/design_issue4_empty_flag_early.sv</x:v>
      </x:c>
      <x:c r="I46" s="4" t="str">
        <x:v>445e9ecfeab646f3c08a43b2e9bdc5fcb89950f4</x:v>
      </x:c>
    </x:row>
    <x:row r="47" ht="54" customHeight="1">
      <x:c r="A47" s="15" t="str">
        <x:v>DesignProject</x:v>
      </x:c>
      <x:c r="B47" s="15" t="str">
        <x:v>eda_playground/buggy_designs/design_issue5_read_pointer_stuck.sv</x:v>
      </x:c>
      <x:c r="C47" s="15" t="str">
        <x:v>Intentional fault fixture</x:v>
      </x:c>
      <x:c r="D47" s="15" t="str">
        <x:v>sync_ram, sync_fifo, sync_fifo_ram</x:v>
      </x:c>
      <x:c r="E47" s="15" t="str">
        <x:v>clk, we, waddr, raddr, din, rst, wr_en, rd_en, wr_data</x:v>
      </x:c>
      <x:c r="F47" s="15" t="str">
        <x:v>dout, rd_data, full, empty</x:v>
      </x:c>
      <x:c r="G47" s="15" t="str">
        <x:v>DP-037</x:v>
      </x:c>
      <x:c r="H47" s="26" t="str">
        <x:v>https://github.com/kapiltrip/DesignProject/blob/445e9ecfeab646f3c08a43b2e9bdc5fcb89950f4/eda_playground/buggy_designs/design_issue5_read_pointer_stuck.sv</x:v>
      </x:c>
      <x:c r="I47" s="15" t="str">
        <x:v>445e9ecfeab646f3c08a43b2e9bdc5fcb89950f4</x:v>
      </x:c>
    </x:row>
    <x:row r="48" ht="54" customHeight="1">
      <x:c r="A48" s="4" t="str">
        <x:v>DesignProject</x:v>
      </x:c>
      <x:c r="B48" s="4" t="str">
        <x:v>eda_playground/design.sv</x:v>
      </x:c>
      <x:c r="C48" s="4" t="str">
        <x:v>RTL</x:v>
      </x:c>
      <x:c r="D48" s="4" t="str">
        <x:v>sync_ram, sync_fifo, sync_fifo_ram</x:v>
      </x:c>
      <x:c r="E48" s="4" t="str">
        <x:v>clk, we, waddr, raddr, din, rst, wr_en, rd_en, wr_data</x:v>
      </x:c>
      <x:c r="F48" s="4" t="str">
        <x:v>dout, rd_data, full, empty</x:v>
      </x:c>
      <x:c r="G48" s="4" t="str">
        <x:v>DP-038, DP-039</x:v>
      </x:c>
      <x:c r="H48" s="25" t="str">
        <x:v>https://github.com/kapiltrip/DesignProject/blob/445e9ecfeab646f3c08a43b2e9bdc5fcb89950f4/eda_playground/design.sv</x:v>
      </x:c>
      <x:c r="I48" s="4" t="str">
        <x:v>445e9ecfeab646f3c08a43b2e9bdc5fcb89950f4</x:v>
      </x:c>
    </x:row>
    <x:row r="49" ht="54" customHeight="1">
      <x:c r="A49" s="15" t="str">
        <x:v>DesignProject</x:v>
      </x:c>
      <x:c r="B49" s="15" t="str">
        <x:v>eda_playground/testbench.sv</x:v>
      </x:c>
      <x:c r="C49" s="15" t="str">
        <x:v>Existing testbench</x:v>
      </x:c>
      <x:c r="D49" s="15" t="str">
        <x:v>tb</x:v>
      </x:c>
      <x:c r="E49" s="15" t="str"/>
      <x:c r="F49" s="15" t="str"/>
      <x:c r="G49" s="15" t="str">
        <x:v>Supporting evidence only; map assertions to case IDs before claiming coverage.</x:v>
      </x:c>
      <x:c r="H49" s="26" t="str">
        <x:v>https://github.com/kapiltrip/DesignProject/blob/445e9ecfeab646f3c08a43b2e9bdc5fcb89950f4/eda_playground/testbench.sv</x:v>
      </x:c>
      <x:c r="I49" s="15" t="str">
        <x:v>445e9ecfeab646f3c08a43b2e9bdc5fcb89950f4</x:v>
      </x:c>
    </x:row>
    <x:row r="50" ht="54" customHeight="1">
      <x:c r="A50" s="4" t="str">
        <x:v>DesignProject</x:v>
      </x:c>
      <x:c r="B50" s="4" t="str">
        <x:v>rtl/sync_fifo.sv</x:v>
      </x:c>
      <x:c r="C50" s="4" t="str">
        <x:v>RTL</x:v>
      </x:c>
      <x:c r="D50" s="4" t="str">
        <x:v>sync_fifo</x:v>
      </x:c>
      <x:c r="E50" s="4" t="str">
        <x:v>clk, rst, wr_en, rd_en, wr_data</x:v>
      </x:c>
      <x:c r="F50" s="4" t="str">
        <x:v>rd_data, full, empty</x:v>
      </x:c>
      <x:c r="G50" s="4" t="str">
        <x:v>DP-009, DP-010, DP-011, DP-012, DP-013, DP-014, DP-015, DP-016, DP-017, DP-018, DP-019, DP-020</x:v>
      </x:c>
      <x:c r="H50" s="25" t="str">
        <x:v>https://github.com/kapiltrip/DesignProject/blob/445e9ecfeab646f3c08a43b2e9bdc5fcb89950f4/rtl/sync_fifo.sv</x:v>
      </x:c>
      <x:c r="I50" s="4" t="str">
        <x:v>445e9ecfeab646f3c08a43b2e9bdc5fcb89950f4</x:v>
      </x:c>
    </x:row>
    <x:row r="51" ht="54" customHeight="1">
      <x:c r="A51" s="15" t="str">
        <x:v>DesignProject</x:v>
      </x:c>
      <x:c r="B51" s="15" t="str">
        <x:v>rtl/sync_fifo_ram.sv</x:v>
      </x:c>
      <x:c r="C51" s="15" t="str">
        <x:v>RTL</x:v>
      </x:c>
      <x:c r="D51" s="15" t="str">
        <x:v>sync_fifo_ram</x:v>
      </x:c>
      <x:c r="E51" s="15" t="str">
        <x:v>clk, rst, wr_en, rd_en, wr_data</x:v>
      </x:c>
      <x:c r="F51" s="15" t="str">
        <x:v>rd_data, full, empty</x:v>
      </x:c>
      <x:c r="G51" s="15" t="str">
        <x:v>DP-021, DP-022, DP-023, DP-024, DP-025, DP-026, DP-027, DP-028, DP-029, DP-030, DP-031, DP-032</x:v>
      </x:c>
      <x:c r="H51" s="26" t="str">
        <x:v>https://github.com/kapiltrip/DesignProject/blob/445e9ecfeab646f3c08a43b2e9bdc5fcb89950f4/rtl/sync_fifo_ram.sv</x:v>
      </x:c>
      <x:c r="I51" s="15" t="str">
        <x:v>445e9ecfeab646f3c08a43b2e9bdc5fcb89950f4</x:v>
      </x:c>
    </x:row>
    <x:row r="52" ht="54" customHeight="1">
      <x:c r="A52" s="4" t="str">
        <x:v>DesignProject</x:v>
      </x:c>
      <x:c r="B52" s="4" t="str">
        <x:v>rtl/sync_ram.sv</x:v>
      </x:c>
      <x:c r="C52" s="4" t="str">
        <x:v>RTL</x:v>
      </x:c>
      <x:c r="D52" s="4" t="str">
        <x:v>sync_ram</x:v>
      </x:c>
      <x:c r="E52" s="4" t="str">
        <x:v>clk, we, waddr, raddr, din</x:v>
      </x:c>
      <x:c r="F52" s="4" t="str">
        <x:v>dout</x:v>
      </x:c>
      <x:c r="G52" s="4" t="str">
        <x:v>DP-001, DP-002, DP-003, DP-004, DP-005, DP-006, DP-007, DP-008</x:v>
      </x:c>
      <x:c r="H52" s="25" t="str">
        <x:v>https://github.com/kapiltrip/DesignProject/blob/445e9ecfeab646f3c08a43b2e9bdc5fcb89950f4/rtl/sync_ram.sv</x:v>
      </x:c>
      <x:c r="I52" s="4" t="str">
        <x:v>445e9ecfeab646f3c08a43b2e9bdc5fcb89950f4</x:v>
      </x:c>
    </x:row>
    <x:row r="53" ht="54" customHeight="1">
      <x:c r="A53" s="15" t="str">
        <x:v>DesignProject</x:v>
      </x:c>
      <x:c r="B53" s="15" t="str">
        <x:v>tb/assert_fifo_ram.sv</x:v>
      </x:c>
      <x:c r="C53" s="15" t="str">
        <x:v>Verification support</x:v>
      </x:c>
      <x:c r="D53" s="15" t="str">
        <x:v>assert_fifo_ram</x:v>
      </x:c>
      <x:c r="E53" s="15" t="str">
        <x:v>clk, rst, wr_en, rd_en, wr_data, rd_data, full, empty, wr_ptr, rd_ptr, fifo_count, do_write, do_read</x:v>
      </x:c>
      <x:c r="F53" s="15" t="str"/>
      <x:c r="G53" s="15" t="str">
        <x:v>Supporting evidence only; map assertions to case IDs before claiming coverage.</x:v>
      </x:c>
      <x:c r="H53" s="26" t="str">
        <x:v>https://github.com/kapiltrip/DesignProject/blob/445e9ecfeab646f3c08a43b2e9bdc5fcb89950f4/tb/assert_fifo_ram.sv</x:v>
      </x:c>
      <x:c r="I53" s="15" t="str">
        <x:v>445e9ecfeab646f3c08a43b2e9bdc5fcb89950f4</x:v>
      </x:c>
    </x:row>
    <x:row r="54" ht="54" customHeight="1">
      <x:c r="A54" s="4" t="str">
        <x:v>DesignProject</x:v>
      </x:c>
      <x:c r="B54" s="4" t="str">
        <x:v>tb/driver.svh</x:v>
      </x:c>
      <x:c r="C54" s="4" t="str">
        <x:v>Verification support</x:v>
      </x:c>
      <x:c r="D54" s="4" t="str">
        <x:v>(incomplete/no module)</x:v>
      </x:c>
      <x:c r="E54" s="4" t="str"/>
      <x:c r="F54" s="4" t="str"/>
      <x:c r="G54" s="4" t="str">
        <x:v>Supporting evidence only; map assertions to case IDs before claiming coverage.</x:v>
      </x:c>
      <x:c r="H54" s="25" t="str">
        <x:v>https://github.com/kapiltrip/DesignProject/blob/445e9ecfeab646f3c08a43b2e9bdc5fcb89950f4/tb/driver.svh</x:v>
      </x:c>
      <x:c r="I54" s="4" t="str">
        <x:v>445e9ecfeab646f3c08a43b2e9bdc5fcb89950f4</x:v>
      </x:c>
    </x:row>
    <x:row r="55" ht="54" customHeight="1">
      <x:c r="A55" s="15" t="str">
        <x:v>DesignProject</x:v>
      </x:c>
      <x:c r="B55" s="15" t="str">
        <x:v>tb/environment.svh</x:v>
      </x:c>
      <x:c r="C55" s="15" t="str">
        <x:v>Verification support</x:v>
      </x:c>
      <x:c r="D55" s="15" t="str">
        <x:v>(incomplete/no module)</x:v>
      </x:c>
      <x:c r="E55" s="15" t="str"/>
      <x:c r="F55" s="15" t="str"/>
      <x:c r="G55" s="15" t="str">
        <x:v>Supporting evidence only; map assertions to case IDs before claiming coverage.</x:v>
      </x:c>
      <x:c r="H55" s="26" t="str">
        <x:v>https://github.com/kapiltrip/DesignProject/blob/445e9ecfeab646f3c08a43b2e9bdc5fcb89950f4/tb/environment.svh</x:v>
      </x:c>
      <x:c r="I55" s="15" t="str">
        <x:v>445e9ecfeab646f3c08a43b2e9bdc5fcb89950f4</x:v>
      </x:c>
    </x:row>
    <x:row r="56" ht="54" customHeight="1">
      <x:c r="A56" s="4" t="str">
        <x:v>DesignProject</x:v>
      </x:c>
      <x:c r="B56" s="4" t="str">
        <x:v>tb/fifo_if.svh</x:v>
      </x:c>
      <x:c r="C56" s="4" t="str">
        <x:v>Verification support</x:v>
      </x:c>
      <x:c r="D56" s="4" t="str">
        <x:v>(incomplete/no module)</x:v>
      </x:c>
      <x:c r="E56" s="4" t="str"/>
      <x:c r="F56" s="4" t="str"/>
      <x:c r="G56" s="4" t="str">
        <x:v>Supporting evidence only; map assertions to case IDs before claiming coverage.</x:v>
      </x:c>
      <x:c r="H56" s="25" t="str">
        <x:v>https://github.com/kapiltrip/DesignProject/blob/445e9ecfeab646f3c08a43b2e9bdc5fcb89950f4/tb/fifo_if.svh</x:v>
      </x:c>
      <x:c r="I56" s="4" t="str">
        <x:v>445e9ecfeab646f3c08a43b2e9bdc5fcb89950f4</x:v>
      </x:c>
    </x:row>
    <x:row r="57" ht="54" customHeight="1">
      <x:c r="A57" s="15" t="str">
        <x:v>DesignProject</x:v>
      </x:c>
      <x:c r="B57" s="15" t="str">
        <x:v>tb/fifo_tb.sv</x:v>
      </x:c>
      <x:c r="C57" s="15" t="str">
        <x:v>Existing testbench</x:v>
      </x:c>
      <x:c r="D57" s="15" t="str">
        <x:v>tb</x:v>
      </x:c>
      <x:c r="E57" s="15" t="str"/>
      <x:c r="F57" s="15" t="str"/>
      <x:c r="G57" s="15" t="str">
        <x:v>Supporting evidence only; map assertions to case IDs before claiming coverage.</x:v>
      </x:c>
      <x:c r="H57" s="26" t="str">
        <x:v>https://github.com/kapiltrip/DesignProject/blob/445e9ecfeab646f3c08a43b2e9bdc5fcb89950f4/tb/fifo_tb.sv</x:v>
      </x:c>
      <x:c r="I57" s="15" t="str">
        <x:v>445e9ecfeab646f3c08a43b2e9bdc5fcb89950f4</x:v>
      </x:c>
    </x:row>
    <x:row r="58" ht="54" customHeight="1">
      <x:c r="A58" s="4" t="str">
        <x:v>DesignProject</x:v>
      </x:c>
      <x:c r="B58" s="4" t="str">
        <x:v>tb/generator.svh</x:v>
      </x:c>
      <x:c r="C58" s="4" t="str">
        <x:v>Verification support</x:v>
      </x:c>
      <x:c r="D58" s="4" t="str">
        <x:v>(incomplete/no module)</x:v>
      </x:c>
      <x:c r="E58" s="4" t="str"/>
      <x:c r="F58" s="4" t="str"/>
      <x:c r="G58" s="4" t="str">
        <x:v>Supporting evidence only; map assertions to case IDs before claiming coverage.</x:v>
      </x:c>
      <x:c r="H58" s="25" t="str">
        <x:v>https://github.com/kapiltrip/DesignProject/blob/445e9ecfeab646f3c08a43b2e9bdc5fcb89950f4/tb/generator.svh</x:v>
      </x:c>
      <x:c r="I58" s="4" t="str">
        <x:v>445e9ecfeab646f3c08a43b2e9bdc5fcb89950f4</x:v>
      </x:c>
    </x:row>
    <x:row r="59" ht="54" customHeight="1">
      <x:c r="A59" s="15" t="str">
        <x:v>DesignProject</x:v>
      </x:c>
      <x:c r="B59" s="15" t="str">
        <x:v>tb/monitor.svh</x:v>
      </x:c>
      <x:c r="C59" s="15" t="str">
        <x:v>Verification support</x:v>
      </x:c>
      <x:c r="D59" s="15" t="str">
        <x:v>(incomplete/no module)</x:v>
      </x:c>
      <x:c r="E59" s="15" t="str"/>
      <x:c r="F59" s="15" t="str"/>
      <x:c r="G59" s="15" t="str">
        <x:v>Supporting evidence only; map assertions to case IDs before claiming coverage.</x:v>
      </x:c>
      <x:c r="H59" s="26" t="str">
        <x:v>https://github.com/kapiltrip/DesignProject/blob/445e9ecfeab646f3c08a43b2e9bdc5fcb89950f4/tb/monitor.svh</x:v>
      </x:c>
      <x:c r="I59" s="15" t="str">
        <x:v>445e9ecfeab646f3c08a43b2e9bdc5fcb89950f4</x:v>
      </x:c>
    </x:row>
    <x:row r="60" ht="54" customHeight="1">
      <x:c r="A60" s="4" t="str">
        <x:v>DesignProject</x:v>
      </x:c>
      <x:c r="B60" s="4" t="str">
        <x:v>tb/scoreboard.svh</x:v>
      </x:c>
      <x:c r="C60" s="4" t="str">
        <x:v>Verification support</x:v>
      </x:c>
      <x:c r="D60" s="4" t="str">
        <x:v>(incomplete/no module)</x:v>
      </x:c>
      <x:c r="E60" s="4" t="str"/>
      <x:c r="F60" s="4" t="str"/>
      <x:c r="G60" s="4" t="str">
        <x:v>Supporting evidence only; map assertions to case IDs before claiming coverage.</x:v>
      </x:c>
      <x:c r="H60" s="25" t="str">
        <x:v>https://github.com/kapiltrip/DesignProject/blob/445e9ecfeab646f3c08a43b2e9bdc5fcb89950f4/tb/scoreboard.svh</x:v>
      </x:c>
      <x:c r="I60" s="4" t="str">
        <x:v>445e9ecfeab646f3c08a43b2e9bdc5fcb89950f4</x:v>
      </x:c>
    </x:row>
    <x:row r="61" ht="54" customHeight="1">
      <x:c r="A61" s="15" t="str">
        <x:v>DesignProject</x:v>
      </x:c>
      <x:c r="B61" s="15" t="str">
        <x:v>tb/transaction.svh</x:v>
      </x:c>
      <x:c r="C61" s="15" t="str">
        <x:v>Verification support</x:v>
      </x:c>
      <x:c r="D61" s="15" t="str">
        <x:v>(incomplete/no module)</x:v>
      </x:c>
      <x:c r="E61" s="15" t="str"/>
      <x:c r="F61" s="15" t="str"/>
      <x:c r="G61" s="15" t="str">
        <x:v>Supporting evidence only; map assertions to case IDs before claiming coverage.</x:v>
      </x:c>
      <x:c r="H61" s="26" t="str">
        <x:v>https://github.com/kapiltrip/DesignProject/blob/445e9ecfeab646f3c08a43b2e9bdc5fcb89950f4/tb/transaction.svh</x:v>
      </x:c>
      <x:c r="I61" s="15" t="str">
        <x:v>445e9ecfeab646f3c08a43b2e9bdc5fcb89950f4</x:v>
      </x:c>
    </x:row>
    <x:row r="62" ht="54" customHeight="1">
      <x:c r="A62" s="4" t="str">
        <x:v>VerilogCodesUpdatedDaily</x:v>
      </x:c>
      <x:c r="B62" s="4" t="str">
        <x:v>array_all.v</x:v>
      </x:c>
      <x:c r="C62" s="4" t="str">
        <x:v>RTL</x:v>
      </x:c>
      <x:c r="D62" s="4" t="str">
        <x:v>array_behavioral, array_dataflow, dff, array_structural</x:v>
      </x:c>
      <x:c r="E62" s="4" t="str">
        <x:v>clk, write_data, write_addr, write_en, read_addr, enable, d_in</x:v>
      </x:c>
      <x:c r="F62" s="4" t="str">
        <x:v>read_data, q_out</x:v>
      </x:c>
      <x:c r="G62" s="4" t="str">
        <x:v>VD-018, VD-019, VD-021</x:v>
      </x:c>
      <x:c r="H62" s="25" t="str">
        <x:v>https://github.com/kapiltrip/VerilogCodesUpdatedDaily/blob/16ce5086bddef41aa977a31440509a0c4219d3c0/array_all.v</x:v>
      </x:c>
      <x:c r="I62" s="4" t="str">
        <x:v>16ce5086bddef41aa977a31440509a0c4219d3c0</x:v>
      </x:c>
    </x:row>
    <x:row r="63" ht="54" customHeight="1">
      <x:c r="A63" s="15" t="str">
        <x:v>VerilogCodesUpdatedDaily</x:v>
      </x:c>
      <x:c r="B63" s="15" t="str">
        <x:v>array_all_tb.v</x:v>
      </x:c>
      <x:c r="C63" s="15" t="str">
        <x:v>Existing testbench</x:v>
      </x:c>
      <x:c r="D63" s="15" t="str">
        <x:v>array_all_tb</x:v>
      </x:c>
      <x:c r="E63" s="15" t="str">
        <x:v>value</x:v>
      </x:c>
      <x:c r="F63" s="15" t="str"/>
      <x:c r="G63" s="15" t="str">
        <x:v>Supporting evidence only; map assertions to case IDs before claiming coverage.</x:v>
      </x:c>
      <x:c r="H63" s="26" t="str">
        <x:v>https://github.com/kapiltrip/VerilogCodesUpdatedDaily/blob/16ce5086bddef41aa977a31440509a0c4219d3c0/array_all_tb.v</x:v>
      </x:c>
      <x:c r="I63" s="15" t="str">
        <x:v>16ce5086bddef41aa977a31440509a0c4219d3c0</x:v>
      </x:c>
    </x:row>
    <x:row r="64" ht="54" customHeight="1">
      <x:c r="A64" s="4" t="str">
        <x:v>VerilogCodesUpdatedDaily</x:v>
      </x:c>
      <x:c r="B64" s="4" t="str">
        <x:v>array_db.v</x:v>
      </x:c>
      <x:c r="C64" s="4" t="str">
        <x:v>RTL</x:v>
      </x:c>
      <x:c r="D64" s="4" t="str">
        <x:v>array_behavioral_simple</x:v>
      </x:c>
      <x:c r="E64" s="4" t="str">
        <x:v>clk, write_data, write_addr, write_en, read_addr</x:v>
      </x:c>
      <x:c r="F64" s="4" t="str">
        <x:v>read_data</x:v>
      </x:c>
      <x:c r="G64" s="4" t="str">
        <x:v>VD-018, VD-019</x:v>
      </x:c>
      <x:c r="H64" s="25" t="str">
        <x:v>https://github.com/kapiltrip/VerilogCodesUpdatedDaily/blob/16ce5086bddef41aa977a31440509a0c4219d3c0/array_db.v</x:v>
      </x:c>
      <x:c r="I64" s="4" t="str">
        <x:v>16ce5086bddef41aa977a31440509a0c4219d3c0</x:v>
      </x:c>
    </x:row>
    <x:row r="65" ht="54" customHeight="1">
      <x:c r="A65" s="15" t="str">
        <x:v>VerilogCodesUpdatedDaily</x:v>
      </x:c>
      <x:c r="B65" s="15" t="str">
        <x:v>array_db_tb.v</x:v>
      </x:c>
      <x:c r="C65" s="15" t="str">
        <x:v>Existing testbench</x:v>
      </x:c>
      <x:c r="D65" s="15" t="str">
        <x:v>array_db_tb</x:v>
      </x:c>
      <x:c r="E65" s="15" t="str">
        <x:v>value</x:v>
      </x:c>
      <x:c r="F65" s="15" t="str"/>
      <x:c r="G65" s="15" t="str">
        <x:v>Supporting evidence only; map assertions to case IDs before claiming coverage.</x:v>
      </x:c>
      <x:c r="H65" s="26" t="str">
        <x:v>https://github.com/kapiltrip/VerilogCodesUpdatedDaily/blob/16ce5086bddef41aa977a31440509a0c4219d3c0/array_db_tb.v</x:v>
      </x:c>
      <x:c r="I65" s="15" t="str">
        <x:v>16ce5086bddef41aa977a31440509a0c4219d3c0</x:v>
      </x:c>
    </x:row>
    <x:row r="66" ht="54" customHeight="1">
      <x:c r="A66" s="4" t="str">
        <x:v>VerilogCodesUpdatedDaily</x:v>
      </x:c>
      <x:c r="B66" s="4" t="str">
        <x:v>async_fifo.v</x:v>
      </x:c>
      <x:c r="C66" s="4" t="str">
        <x:v>RTL</x:v>
      </x:c>
      <x:c r="D66" s="4" t="str">
        <x:v>async_fifo</x:v>
      </x:c>
      <x:c r="E66" s="4" t="str">
        <x:v>value, write_clk, write_reset_n, write_en, write_data, read_clk, read_reset_n, read_en, gray_value</x:v>
      </x:c>
      <x:c r="F66" s="4" t="str">
        <x:v>read_data, full, empty, count</x:v>
      </x:c>
      <x:c r="G66" s="4" t="str">
        <x:v>VD-001, VD-002, VD-003, VD-004, VD-005, VD-006, VD-007, VD-008, VD-009, VD-010, VD-011, VD-012, VD-013, VD-014, VD-015</x:v>
      </x:c>
      <x:c r="H66" s="25" t="str">
        <x:v>https://github.com/kapiltrip/VerilogCodesUpdatedDaily/blob/16ce5086bddef41aa977a31440509a0c4219d3c0/async_fifo.v</x:v>
      </x:c>
      <x:c r="I66" s="4" t="str">
        <x:v>16ce5086bddef41aa977a31440509a0c4219d3c0</x:v>
      </x:c>
    </x:row>
    <x:row r="67" ht="54" customHeight="1">
      <x:c r="A67" s="15" t="str">
        <x:v>VerilogCodesUpdatedDaily</x:v>
      </x:c>
      <x:c r="B67" s="15" t="str">
        <x:v>async_fifo_tb.v</x:v>
      </x:c>
      <x:c r="C67" s="15" t="str">
        <x:v>Existing testbench</x:v>
      </x:c>
      <x:c r="D67" s="15" t="str">
        <x:v>async_fifo_tb</x:v>
      </x:c>
      <x:c r="E67" s="15" t="str">
        <x:v>value</x:v>
      </x:c>
      <x:c r="F67" s="15" t="str"/>
      <x:c r="G67" s="15" t="str">
        <x:v>Supporting evidence only; map assertions to case IDs before claiming coverage.</x:v>
      </x:c>
      <x:c r="H67" s="26" t="str">
        <x:v>https://github.com/kapiltrip/VerilogCodesUpdatedDaily/blob/16ce5086bddef41aa977a31440509a0c4219d3c0/async_fifo_tb.v</x:v>
      </x:c>
      <x:c r="I67" s="15" t="str">
        <x:v>16ce5086bddef41aa977a31440509a0c4219d3c0</x:v>
      </x:c>
    </x:row>
    <x:row r="68" ht="54" customHeight="1">
      <x:c r="A68" s="4" t="str">
        <x:v>VerilogCodesUpdatedDaily</x:v>
      </x:c>
      <x:c r="B68" s="4" t="str">
        <x:v>bin2gray.v</x:v>
      </x:c>
      <x:c r="C68" s="4" t="str">
        <x:v>RTL</x:v>
      </x:c>
      <x:c r="D68" s="4" t="str">
        <x:v>bin2gray</x:v>
      </x:c>
      <x:c r="E68" s="4" t="str">
        <x:v>bin</x:v>
      </x:c>
      <x:c r="F68" s="4" t="str">
        <x:v>gray</x:v>
      </x:c>
      <x:c r="G68" s="4" t="str">
        <x:v>VD-020</x:v>
      </x:c>
      <x:c r="H68" s="25" t="str">
        <x:v>https://github.com/kapiltrip/VerilogCodesUpdatedDaily/blob/16ce5086bddef41aa977a31440509a0c4219d3c0/bin2gray.v</x:v>
      </x:c>
      <x:c r="I68" s="4" t="str">
        <x:v>16ce5086bddef41aa977a31440509a0c4219d3c0</x:v>
      </x:c>
    </x:row>
    <x:row r="69" ht="54" customHeight="1">
      <x:c r="A69" s="15" t="str">
        <x:v>VerilogCodesUpdatedDaily</x:v>
      </x:c>
      <x:c r="B69" s="15" t="str">
        <x:v>bin2gray_all.v</x:v>
      </x:c>
      <x:c r="C69" s="15" t="str">
        <x:v>RTL</x:v>
      </x:c>
      <x:c r="D69" s="15" t="str">
        <x:v>bin2gray, tb_bin2gray</x:v>
      </x:c>
      <x:c r="E69" s="15" t="str">
        <x:v>bin, b, v</x:v>
      </x:c>
      <x:c r="F69" s="15" t="str">
        <x:v>gray</x:v>
      </x:c>
      <x:c r="G69" s="15" t="str">
        <x:v>VD-020</x:v>
      </x:c>
      <x:c r="H69" s="26" t="str">
        <x:v>https://github.com/kapiltrip/VerilogCodesUpdatedDaily/blob/16ce5086bddef41aa977a31440509a0c4219d3c0/bin2gray_all.v</x:v>
      </x:c>
      <x:c r="I69" s="15" t="str">
        <x:v>16ce5086bddef41aa977a31440509a0c4219d3c0</x:v>
      </x:c>
    </x:row>
    <x:row r="70" ht="54" customHeight="1">
      <x:c r="A70" s="4" t="str">
        <x:v>VerilogCodesUpdatedDaily</x:v>
      </x:c>
      <x:c r="B70" s="4" t="str">
        <x:v>bin2gray_tb.v</x:v>
      </x:c>
      <x:c r="C70" s="4" t="str">
        <x:v>Existing testbench</x:v>
      </x:c>
      <x:c r="D70" s="4" t="str">
        <x:v>tb_bin2gray</x:v>
      </x:c>
      <x:c r="E70" s="4" t="str">
        <x:v>b, v</x:v>
      </x:c>
      <x:c r="F70" s="4" t="str"/>
      <x:c r="G70" s="4" t="str">
        <x:v>Supporting evidence only; map assertions to case IDs before claiming coverage.</x:v>
      </x:c>
      <x:c r="H70" s="25" t="str">
        <x:v>https://github.com/kapiltrip/VerilogCodesUpdatedDaily/blob/16ce5086bddef41aa977a31440509a0c4219d3c0/bin2gray_tb.v</x:v>
      </x:c>
      <x:c r="I70" s="4" t="str">
        <x:v>16ce5086bddef41aa977a31440509a0c4219d3c0</x:v>
      </x:c>
    </x:row>
    <x:row r="71" ht="54" customHeight="1">
      <x:c r="A71" s="15" t="str">
        <x:v>VerilogCodesUpdatedDaily</x:v>
      </x:c>
      <x:c r="B71" s="15" t="str">
        <x:v>up_down_counter_behavioral.v</x:v>
      </x:c>
      <x:c r="C71" s="15" t="str">
        <x:v>RTL</x:v>
      </x:c>
      <x:c r="D71" s="15" t="str">
        <x:v>up_down_counter_behavioral</x:v>
      </x:c>
      <x:c r="E71" s="15" t="str">
        <x:v>clk, reset, up</x:v>
      </x:c>
      <x:c r="F71" s="15" t="str">
        <x:v>count</x:v>
      </x:c>
      <x:c r="G71" s="15" t="str">
        <x:v>VD-016, VD-017</x:v>
      </x:c>
      <x:c r="H71" s="26" t="str">
        <x:v>https://github.com/kapiltrip/VerilogCodesUpdatedDaily/blob/16ce5086bddef41aa977a31440509a0c4219d3c0/up_down_counter_behavioral.v</x:v>
      </x:c>
      <x:c r="I71" s="15" t="str">
        <x:v>16ce5086bddef41aa977a31440509a0c4219d3c0</x:v>
      </x:c>
    </x:row>
    <x:row r="72" ht="54" customHeight="1">
      <x:c r="A72" s="4" t="str">
        <x:v>VerilogCodesUpdatedDaily</x:v>
      </x:c>
      <x:c r="B72" s="4" t="str">
        <x:v>up_down_counter_dataflow.v</x:v>
      </x:c>
      <x:c r="C72" s="4" t="str">
        <x:v>RTL</x:v>
      </x:c>
      <x:c r="D72" s="4" t="str">
        <x:v>up_down_counter_dataflow</x:v>
      </x:c>
      <x:c r="E72" s="4" t="str">
        <x:v>clk, reset, up</x:v>
      </x:c>
      <x:c r="F72" s="4" t="str">
        <x:v>count</x:v>
      </x:c>
      <x:c r="G72" s="4" t="str">
        <x:v>VD-016, VD-017</x:v>
      </x:c>
      <x:c r="H72" s="25" t="str">
        <x:v>https://github.com/kapiltrip/VerilogCodesUpdatedDaily/blob/16ce5086bddef41aa977a31440509a0c4219d3c0/up_down_counter_dataflow.v</x:v>
      </x:c>
      <x:c r="I72" s="4" t="str">
        <x:v>16ce5086bddef41aa977a31440509a0c4219d3c0</x:v>
      </x:c>
    </x:row>
    <x:row r="73" ht="54" customHeight="1">
      <x:c r="A73" s="15" t="str">
        <x:v>VerilogCodesUpdatedDaily</x:v>
      </x:c>
      <x:c r="B73" s="15" t="str">
        <x:v>up_down_counter_structural.v</x:v>
      </x:c>
      <x:c r="C73" s="15" t="str">
        <x:v>RTL</x:v>
      </x:c>
      <x:c r="D73" s="15" t="str">
        <x:v>dff, full_adder, up_down_counter_structural</x:v>
      </x:c>
      <x:c r="E73" s="15" t="str">
        <x:v>clk, reset, d, a, b, cin, up</x:v>
      </x:c>
      <x:c r="F73" s="15" t="str">
        <x:v>q, sum, cout, count</x:v>
      </x:c>
      <x:c r="G73" s="15" t="str">
        <x:v>VD-016, VD-017</x:v>
      </x:c>
      <x:c r="H73" s="26" t="str">
        <x:v>https://github.com/kapiltrip/VerilogCodesUpdatedDaily/blob/16ce5086bddef41aa977a31440509a0c4219d3c0/up_down_counter_structural.v</x:v>
      </x:c>
      <x:c r="I73" s="15" t="str">
        <x:v>16ce5086bddef41aa977a31440509a0c4219d3c0</x:v>
      </x:c>
    </x:row>
    <x:row r="74" ht="54" customHeight="1">
      <x:c r="A74" s="4" t="str">
        <x:v>VerilogCodesUpdatedDaily</x:v>
      </x:c>
      <x:c r="B74" s="4" t="str">
        <x:v>up_down_counter_tb.v</x:v>
      </x:c>
      <x:c r="C74" s="4" t="str">
        <x:v>Existing testbench</x:v>
      </x:c>
      <x:c r="D74" s="4" t="str">
        <x:v>tb_up_down_counter</x:v>
      </x:c>
      <x:c r="E74" s="4" t="str"/>
      <x:c r="F74" s="4" t="str"/>
      <x:c r="G74" s="4" t="str">
        <x:v>Supporting evidence only; map assertions to case IDs before claiming coverage.</x:v>
      </x:c>
      <x:c r="H74" s="25" t="str">
        <x:v>https://github.com/kapiltrip/VerilogCodesUpdatedDaily/blob/16ce5086bddef41aa977a31440509a0c4219d3c0/up_down_counter_tb.v</x:v>
      </x:c>
      <x:c r="I74" s="4" t="str">
        <x:v>16ce5086bddef41aa977a31440509a0c4219d3c0</x:v>
      </x:c>
    </x:row>
    <x:row r="75" ht="54" customHeight="1">
      <x:c r="A75" s="15" t="str">
        <x:v>mips-processor</x:v>
      </x:c>
      <x:c r="B75" s="15" t="str">
        <x:v>modellingOftheProcessor/alu.v</x:v>
      </x:c>
      <x:c r="C75" s="15" t="str">
        <x:v>RTL</x:v>
      </x:c>
      <x:c r="D75" s="15" t="str">
        <x:v>alu</x:v>
      </x:c>
      <x:c r="E75" s="15" t="str">
        <x:v>opcode, a, b</x:v>
      </x:c>
      <x:c r="F75" s="15" t="str">
        <x:v>result</x:v>
      </x:c>
      <x:c r="G75" s="15" t="str">
        <x:v>CPU-001, CPU-002, CPU-012</x:v>
      </x:c>
      <x:c r="H75" s="26" t="str">
        <x:v>https://github.com/kapiltrip/mips-processor/blob/a6f8a8843b90f68ce59dfabafdfd47f6e3331f8a/modellingOftheProcessor/alu.v</x:v>
      </x:c>
      <x:c r="I75" s="15" t="str">
        <x:v>a6f8a8843b90f68ce59dfabafdfd47f6e3331f8a</x:v>
      </x:c>
    </x:row>
    <x:row r="76" ht="54" customHeight="1">
      <x:c r="A76" s="4" t="str">
        <x:v>mips-processor</x:v>
      </x:c>
      <x:c r="B76" s="4" t="str">
        <x:v>modellingOftheProcessor/control_unit.v</x:v>
      </x:c>
      <x:c r="C76" s="4" t="str">
        <x:v>RTL</x:v>
      </x:c>
      <x:c r="D76" s="4" t="str">
        <x:v>control_unit</x:v>
      </x:c>
      <x:c r="E76" s="4" t="str">
        <x:v>opcode</x:v>
      </x:c>
      <x:c r="F76" s="4" t="str">
        <x:v>instr_type</x:v>
      </x:c>
      <x:c r="G76" s="4" t="str">
        <x:v>CPU-003</x:v>
      </x:c>
      <x:c r="H76" s="25" t="str">
        <x:v>https://github.com/kapiltrip/mips-processor/blob/a6f8a8843b90f68ce59dfabafdfd47f6e3331f8a/modellingOftheProcessor/control_unit.v</x:v>
      </x:c>
      <x:c r="I76" s="4" t="str">
        <x:v>a6f8a8843b90f68ce59dfabafdfd47f6e3331f8a</x:v>
      </x:c>
    </x:row>
    <x:row r="77" ht="54" customHeight="1">
      <x:c r="A77" s="15" t="str">
        <x:v>mips-processor</x:v>
      </x:c>
      <x:c r="B77" s="15" t="str">
        <x:v>modellingOftheProcessor/memory_interface.v</x:v>
      </x:c>
      <x:c r="C77" s="15" t="str">
        <x:v>RTL</x:v>
      </x:c>
      <x:c r="D77" s="15" t="str">
        <x:v>memory_interface</x:v>
      </x:c>
      <x:c r="E77" s="15" t="str">
        <x:v>clock, instr_addr, data_addr, data_in, data_we</x:v>
      </x:c>
      <x:c r="F77" s="15" t="str">
        <x:v>instr_out, data_out</x:v>
      </x:c>
      <x:c r="G77" s="15" t="str">
        <x:v>CPU-006, CPU-007</x:v>
      </x:c>
      <x:c r="H77" s="26" t="str">
        <x:v>https://github.com/kapiltrip/mips-processor/blob/a6f8a8843b90f68ce59dfabafdfd47f6e3331f8a/modellingOftheProcessor/memory_interface.v</x:v>
      </x:c>
      <x:c r="I77" s="15" t="str">
        <x:v>a6f8a8843b90f68ce59dfabafdfd47f6e3331f8a</x:v>
      </x:c>
    </x:row>
    <x:row r="78" ht="54" customHeight="1">
      <x:c r="A78" s="4" t="str">
        <x:v>mips-processor</x:v>
      </x:c>
      <x:c r="B78" s="4" t="str">
        <x:v>modellingOftheProcessor/mips.v</x:v>
      </x:c>
      <x:c r="C78" s="4" t="str">
        <x:v>RTL</x:v>
      </x:c>
      <x:c r="D78" s="4" t="str">
        <x:v>mips</x:v>
      </x:c>
      <x:c r="E78" s="4" t="str">
        <x:v>clock1, clock2</x:v>
      </x:c>
      <x:c r="F78" s="4" t="str"/>
      <x:c r="G78" s="4" t="str">
        <x:v>CPU-008, CPU-009, CPU-010, CPU-011</x:v>
      </x:c>
      <x:c r="H78" s="25" t="str">
        <x:v>https://github.com/kapiltrip/mips-processor/blob/a6f8a8843b90f68ce59dfabafdfd47f6e3331f8a/modellingOftheProcessor/mips.v</x:v>
      </x:c>
      <x:c r="I78" s="4" t="str">
        <x:v>a6f8a8843b90f68ce59dfabafdfd47f6e3331f8a</x:v>
      </x:c>
    </x:row>
    <x:row r="79" ht="54" customHeight="1">
      <x:c r="A79" s="15" t="str">
        <x:v>mips-processor</x:v>
      </x:c>
      <x:c r="B79" s="15" t="str">
        <x:v>modellingOftheProcessor/regfile.v</x:v>
      </x:c>
      <x:c r="C79" s="15" t="str">
        <x:v>RTL</x:v>
      </x:c>
      <x:c r="D79" s="15" t="str">
        <x:v>regfile</x:v>
      </x:c>
      <x:c r="E79" s="15" t="str">
        <x:v>clock, we, ra1, ra2, wa, wd</x:v>
      </x:c>
      <x:c r="F79" s="15" t="str">
        <x:v>rd1, rd2</x:v>
      </x:c>
      <x:c r="G79" s="15" t="str">
        <x:v>CPU-004, CPU-005</x:v>
      </x:c>
      <x:c r="H79" s="26" t="str">
        <x:v>https://github.com/kapiltrip/mips-processor/blob/a6f8a8843b90f68ce59dfabafdfd47f6e3331f8a/modellingOftheProcessor/regfile.v</x:v>
      </x:c>
      <x:c r="I79" s="15" t="str">
        <x:v>a6f8a8843b90f68ce59dfabafdfd47f6e3331f8a</x:v>
      </x:c>
    </x:row>
    <x:row r="80" ht="54" customHeight="1">
      <x:c r="A80" s="4" t="str">
        <x:v>mips-processor</x:v>
      </x:c>
      <x:c r="B80" s="4" t="str">
        <x:v>modellingOftheProcessor/tb_add_three_numbers.v</x:v>
      </x:c>
      <x:c r="C80" s="4" t="str">
        <x:v>Existing testbench</x:v>
      </x:c>
      <x:c r="D80" s="4" t="str">
        <x:v>tb_add_three_numbers</x:v>
      </x:c>
      <x:c r="E80" s="4" t="str"/>
      <x:c r="F80" s="4" t="str"/>
      <x:c r="G80" s="4" t="str">
        <x:v>Supporting evidence only; map assertions to case IDs before claiming coverage.</x:v>
      </x:c>
      <x:c r="H80" s="25" t="str">
        <x:v>https://github.com/kapiltrip/mips-processor/blob/a6f8a8843b90f68ce59dfabafdfd47f6e3331f8a/modellingOftheProcessor/tb_add_three_numbers.v</x:v>
      </x:c>
      <x:c r="I80" s="4" t="str">
        <x:v>a6f8a8843b90f68ce59dfabafdfd47f6e3331f8a</x:v>
      </x:c>
    </x:row>
    <x:row r="81" ht="54" customHeight="1">
      <x:c r="A81" s="15" t="str">
        <x:v>mips-processor</x:v>
      </x:c>
      <x:c r="B81" s="15" t="str">
        <x:v>modellingOftheProcessor/tb_factorial.v</x:v>
      </x:c>
      <x:c r="C81" s="15" t="str">
        <x:v>Existing testbench</x:v>
      </x:c>
      <x:c r="D81" s="15" t="str">
        <x:v>tb_factorial</x:v>
      </x:c>
      <x:c r="E81" s="15" t="str"/>
      <x:c r="F81" s="15" t="str"/>
      <x:c r="G81" s="15" t="str">
        <x:v>Supporting evidence only; map assertions to case IDs before claiming coverage.</x:v>
      </x:c>
      <x:c r="H81" s="26" t="str">
        <x:v>https://github.com/kapiltrip/mips-processor/blob/a6f8a8843b90f68ce59dfabafdfd47f6e3331f8a/modellingOftheProcessor/tb_factorial.v</x:v>
      </x:c>
      <x:c r="I81" s="15" t="str">
        <x:v>a6f8a8843b90f68ce59dfabafdfd47f6e3331f8a</x:v>
      </x:c>
    </x:row>
    <x:row r="82" ht="54" customHeight="1">
      <x:c r="A82" s="4" t="str">
        <x:v>mips-processor</x:v>
      </x:c>
      <x:c r="B82" s="4" t="str">
        <x:v>modellingOftheProcessor/tb_memory_word.v</x:v>
      </x:c>
      <x:c r="C82" s="4" t="str">
        <x:v>Existing testbench</x:v>
      </x:c>
      <x:c r="D82" s="4" t="str">
        <x:v>tb_memory_word</x:v>
      </x:c>
      <x:c r="E82" s="4" t="str"/>
      <x:c r="F82" s="4" t="str"/>
      <x:c r="G82" s="4" t="str">
        <x:v>Supporting evidence only; map assertions to case IDs before claiming coverage.</x:v>
      </x:c>
      <x:c r="H82" s="25" t="str">
        <x:v>https://github.com/kapiltrip/mips-processor/blob/a6f8a8843b90f68ce59dfabafdfd47f6e3331f8a/modellingOftheProcessor/tb_memory_word.v</x:v>
      </x:c>
      <x:c r="I82" s="4" t="str">
        <x:v>a6f8a8843b90f68ce59dfabafdfd47f6e3331f8a</x:v>
      </x:c>
    </x:row>
    <x:row r="83" ht="54" customHeight="1">
      <x:c r="A83" s="15" t="str">
        <x:v>VerificationLab</x:v>
      </x:c>
      <x:c r="B83" s="15" t="str">
        <x:v>exp1/exp1_mux4to1.sv</x:v>
      </x:c>
      <x:c r="C83" s="15" t="str">
        <x:v>RTL</x:v>
      </x:c>
      <x:c r="D83" s="15" t="str">
        <x:v>mux4to1</x:v>
      </x:c>
      <x:c r="E83" s="15" t="str">
        <x:v>d, sel</x:v>
      </x:c>
      <x:c r="F83" s="15" t="str">
        <x:v>y</x:v>
      </x:c>
      <x:c r="G83" s="15" t="str">
        <x:v>LAB-005, LAB-036</x:v>
      </x:c>
      <x:c r="H83" s="26" t="str">
        <x:v>https://github.com/kapiltrip/VerificationLab/blob/0c649a2cbbeef29a88717dda465b6cf958a1bc15/exp1/exp1_mux4to1.sv</x:v>
      </x:c>
      <x:c r="I83" s="15" t="str">
        <x:v>0c649a2cbbeef29a88717dda465b6cf958a1bc15</x:v>
      </x:c>
    </x:row>
    <x:row r="84" ht="54" customHeight="1">
      <x:c r="A84" s="4" t="str">
        <x:v>VerificationLab</x:v>
      </x:c>
      <x:c r="B84" s="4" t="str">
        <x:v>exp1/exp1_tb_mux4to1.sv</x:v>
      </x:c>
      <x:c r="C84" s="4" t="str">
        <x:v>Verification example</x:v>
      </x:c>
      <x:c r="D84" s="4" t="str">
        <x:v>tb_mux4to1</x:v>
      </x:c>
      <x:c r="E84" s="4" t="str"/>
      <x:c r="F84" s="4" t="str"/>
      <x:c r="G84" s="4" t="str">
        <x:v>Supporting evidence only; map assertions to case IDs before claiming coverage.</x:v>
      </x:c>
      <x:c r="H84" s="25" t="str">
        <x:v>https://github.com/kapiltrip/VerificationLab/blob/0c649a2cbbeef29a88717dda465b6cf958a1bc15/exp1/exp1_tb_mux4to1.sv</x:v>
      </x:c>
      <x:c r="I84" s="4" t="str">
        <x:v>0c649a2cbbeef29a88717dda465b6cf958a1bc15</x:v>
      </x:c>
    </x:row>
    <x:row r="85" ht="54" customHeight="1">
      <x:c r="A85" s="15" t="str">
        <x:v>VerificationLab</x:v>
      </x:c>
      <x:c r="B85" s="15" t="str">
        <x:v>exp2/exp2_full_adder.sv</x:v>
      </x:c>
      <x:c r="C85" s="15" t="str">
        <x:v>RTL</x:v>
      </x:c>
      <x:c r="D85" s="15" t="str">
        <x:v>full_adder</x:v>
      </x:c>
      <x:c r="E85" s="15" t="str">
        <x:v>a, b, cin</x:v>
      </x:c>
      <x:c r="F85" s="15" t="str">
        <x:v>sum, cout</x:v>
      </x:c>
      <x:c r="G85" s="15" t="str">
        <x:v>LAB-006</x:v>
      </x:c>
      <x:c r="H85" s="26" t="str">
        <x:v>https://github.com/kapiltrip/VerificationLab/blob/0c649a2cbbeef29a88717dda465b6cf958a1bc15/exp2/exp2_full_adder.sv</x:v>
      </x:c>
      <x:c r="I85" s="15" t="str">
        <x:v>0c649a2cbbeef29a88717dda465b6cf958a1bc15</x:v>
      </x:c>
    </x:row>
    <x:row r="86" ht="54" customHeight="1">
      <x:c r="A86" s="4" t="str">
        <x:v>VerificationLab</x:v>
      </x:c>
      <x:c r="B86" s="4" t="str">
        <x:v>exp2/exp2_full_adder_fault_inject.sv</x:v>
      </x:c>
      <x:c r="C86" s="4" t="str">
        <x:v>RTL</x:v>
      </x:c>
      <x:c r="D86" s="4" t="str">
        <x:v>full_adder_fault_inject</x:v>
      </x:c>
      <x:c r="E86" s="4" t="str">
        <x:v>a, b, cin, fault_en, fault_node, fault_stuck_val</x:v>
      </x:c>
      <x:c r="F86" s="4" t="str">
        <x:v>sum, cout</x:v>
      </x:c>
      <x:c r="G86" s="4" t="str">
        <x:v>LAB-007</x:v>
      </x:c>
      <x:c r="H86" s="25" t="str">
        <x:v>https://github.com/kapiltrip/VerificationLab/blob/0c649a2cbbeef29a88717dda465b6cf958a1bc15/exp2/exp2_full_adder_fault_inject.sv</x:v>
      </x:c>
      <x:c r="I86" s="4" t="str">
        <x:v>0c649a2cbbeef29a88717dda465b6cf958a1bc15</x:v>
      </x:c>
    </x:row>
    <x:row r="87" ht="54" customHeight="1">
      <x:c r="A87" s="15" t="str">
        <x:v>VerificationLab</x:v>
      </x:c>
      <x:c r="B87" s="15" t="str">
        <x:v>exp2/exp2_simple_exam_version.sv</x:v>
      </x:c>
      <x:c r="C87" s="15" t="str">
        <x:v>RTL</x:v>
      </x:c>
      <x:c r="D87" s="15" t="str">
        <x:v>exp2_simple_full_adder, exp2_simple_full_adder_fault, exp2_simple_tb</x:v>
      </x:c>
      <x:c r="E87" s="15" t="str">
        <x:v>a, b, cin, fault_en, fault_node, stuck_val</x:v>
      </x:c>
      <x:c r="F87" s="15" t="str">
        <x:v>sum, cout</x:v>
      </x:c>
      <x:c r="G87" s="15" t="str">
        <x:v>LAB-008</x:v>
      </x:c>
      <x:c r="H87" s="26" t="str">
        <x:v>https://github.com/kapiltrip/VerificationLab/blob/0c649a2cbbeef29a88717dda465b6cf958a1bc15/exp2/exp2_simple_exam_version.sv</x:v>
      </x:c>
      <x:c r="I87" s="15" t="str">
        <x:v>0c649a2cbbeef29a88717dda465b6cf958a1bc15</x:v>
      </x:c>
    </x:row>
    <x:row r="88" ht="54" customHeight="1">
      <x:c r="A88" s="4" t="str">
        <x:v>VerificationLab</x:v>
      </x:c>
      <x:c r="B88" s="4" t="str">
        <x:v>exp2/exp2_tb_full_adder_fault_inject.sv</x:v>
      </x:c>
      <x:c r="C88" s="4" t="str">
        <x:v>Verification example</x:v>
      </x:c>
      <x:c r="D88" s="4" t="str">
        <x:v>tb_full_adder_fault_inject</x:v>
      </x:c>
      <x:c r="E88" s="4" t="str"/>
      <x:c r="F88" s="4" t="str"/>
      <x:c r="G88" s="4" t="str">
        <x:v>Supporting evidence only; map assertions to case IDs before claiming coverage.</x:v>
      </x:c>
      <x:c r="H88" s="25" t="str">
        <x:v>https://github.com/kapiltrip/VerificationLab/blob/0c649a2cbbeef29a88717dda465b6cf958a1bc15/exp2/exp2_tb_full_adder_fault_inject.sv</x:v>
      </x:c>
      <x:c r="I88" s="4" t="str">
        <x:v>0c649a2cbbeef29a88717dda465b6cf958a1bc15</x:v>
      </x:c>
    </x:row>
    <x:row r="89" ht="54" customHeight="1">
      <x:c r="A89" s="15" t="str">
        <x:v>VerificationLab</x:v>
      </x:c>
      <x:c r="B89" s="15" t="str">
        <x:v>exp2/exp2_tb_full_adder_selfcheck.sv</x:v>
      </x:c>
      <x:c r="C89" s="15" t="str">
        <x:v>Existing testbench</x:v>
      </x:c>
      <x:c r="D89" s="15" t="str">
        <x:v>tb_full_adder_selfcheck</x:v>
      </x:c>
      <x:c r="E89" s="15" t="str"/>
      <x:c r="F89" s="15" t="str"/>
      <x:c r="G89" s="15" t="str">
        <x:v>Supporting evidence only; map assertions to case IDs before claiming coverage.</x:v>
      </x:c>
      <x:c r="H89" s="26" t="str">
        <x:v>https://github.com/kapiltrip/VerificationLab/blob/0c649a2cbbeef29a88717dda465b6cf958a1bc15/exp2/exp2_tb_full_adder_selfcheck.sv</x:v>
      </x:c>
      <x:c r="I89" s="15" t="str">
        <x:v>0c649a2cbbeef29a88717dda465b6cf958a1bc15</x:v>
      </x:c>
    </x:row>
    <x:row r="90" ht="54" customHeight="1">
      <x:c r="A90" s="4" t="str">
        <x:v>VerificationLab</x:v>
      </x:c>
      <x:c r="B90" s="4" t="str">
        <x:v>exp3/exp3_simple_exam_version.sv</x:v>
      </x:c>
      <x:c r="C90" s="4" t="str">
        <x:v>RTL</x:v>
      </x:c>
      <x:c r="D90" s="4" t="str">
        <x:v>exp3_simple_xor_fault, exp3_simple_tb</x:v>
      </x:c>
      <x:c r="E90" s="4" t="str">
        <x:v>a, b, fault_en, fault_id, stuck_val</x:v>
      </x:c>
      <x:c r="F90" s="4" t="str">
        <x:v>y</x:v>
      </x:c>
      <x:c r="G90" s="4" t="str">
        <x:v>LAB-009</x:v>
      </x:c>
      <x:c r="H90" s="25" t="str">
        <x:v>https://github.com/kapiltrip/VerificationLab/blob/0c649a2cbbeef29a88717dda465b6cf958a1bc15/exp3/exp3_simple_exam_version.sv</x:v>
      </x:c>
      <x:c r="I90" s="4" t="str">
        <x:v>0c649a2cbbeef29a88717dda465b6cf958a1bc15</x:v>
      </x:c>
    </x:row>
    <x:row r="91" ht="54" customHeight="1">
      <x:c r="A91" s="15" t="str">
        <x:v>VerificationLab</x:v>
      </x:c>
      <x:c r="B91" s="15" t="str">
        <x:v>exp3/exp3_tb_xor_fault_equiv.sv</x:v>
      </x:c>
      <x:c r="C91" s="15" t="str">
        <x:v>Verification example</x:v>
      </x:c>
      <x:c r="D91" s="15" t="str">
        <x:v>tb_xor_fault_equiv</x:v>
      </x:c>
      <x:c r="E91" s="15" t="str"/>
      <x:c r="F91" s="15" t="str"/>
      <x:c r="G91" s="15" t="str">
        <x:v>Supporting evidence only; map assertions to case IDs before claiming coverage.</x:v>
      </x:c>
      <x:c r="H91" s="26" t="str">
        <x:v>https://github.com/kapiltrip/VerificationLab/blob/0c649a2cbbeef29a88717dda465b6cf958a1bc15/exp3/exp3_tb_xor_fault_equiv.sv</x:v>
      </x:c>
      <x:c r="I91" s="15" t="str">
        <x:v>0c649a2cbbeef29a88717dda465b6cf958a1bc15</x:v>
      </x:c>
    </x:row>
    <x:row r="92" ht="54" customHeight="1">
      <x:c r="A92" s="4" t="str">
        <x:v>VerificationLab</x:v>
      </x:c>
      <x:c r="B92" s="4" t="str">
        <x:v>exp3/exp3_xor_fault_equiv.sv</x:v>
      </x:c>
      <x:c r="C92" s="4" t="str">
        <x:v>RTL</x:v>
      </x:c>
      <x:c r="D92" s="4" t="str">
        <x:v>xor_fault_equiv</x:v>
      </x:c>
      <x:c r="E92" s="4" t="str">
        <x:v>a, b, fault_en, fault_id, fault_stuck_val</x:v>
      </x:c>
      <x:c r="F92" s="4" t="str">
        <x:v>y</x:v>
      </x:c>
      <x:c r="G92" s="4" t="str">
        <x:v>LAB-010</x:v>
      </x:c>
      <x:c r="H92" s="25" t="str">
        <x:v>https://github.com/kapiltrip/VerificationLab/blob/0c649a2cbbeef29a88717dda465b6cf958a1bc15/exp3/exp3_xor_fault_equiv.sv</x:v>
      </x:c>
      <x:c r="I92" s="4" t="str">
        <x:v>0c649a2cbbeef29a88717dda465b6cf958a1bc15</x:v>
      </x:c>
    </x:row>
    <x:row r="93" ht="54" customHeight="1">
      <x:c r="A93" s="15" t="str">
        <x:v>VerificationLab</x:v>
      </x:c>
      <x:c r="B93" s="15" t="str">
        <x:v>exp4/exp4_cla4.sv</x:v>
      </x:c>
      <x:c r="C93" s="15" t="str">
        <x:v>RTL</x:v>
      </x:c>
      <x:c r="D93" s="15" t="str">
        <x:v>cla4</x:v>
      </x:c>
      <x:c r="E93" s="15" t="str">
        <x:v>a, b, cin</x:v>
      </x:c>
      <x:c r="F93" s="15" t="str">
        <x:v>sum, cout</x:v>
      </x:c>
      <x:c r="G93" s="15" t="str">
        <x:v>LAB-011</x:v>
      </x:c>
      <x:c r="H93" s="26" t="str">
        <x:v>https://github.com/kapiltrip/VerificationLab/blob/0c649a2cbbeef29a88717dda465b6cf958a1bc15/exp4/exp4_cla4.sv</x:v>
      </x:c>
      <x:c r="I93" s="15" t="str">
        <x:v>0c649a2cbbeef29a88717dda465b6cf958a1bc15</x:v>
      </x:c>
    </x:row>
    <x:row r="94" ht="54" customHeight="1">
      <x:c r="A94" s="4" t="str">
        <x:v>VerificationLab</x:v>
      </x:c>
      <x:c r="B94" s="4" t="str">
        <x:v>exp4/exp4_tb_cla4_selfcheck.sv</x:v>
      </x:c>
      <x:c r="C94" s="4" t="str">
        <x:v>Existing testbench</x:v>
      </x:c>
      <x:c r="D94" s="4" t="str">
        <x:v>tb_cla4_selfcheck</x:v>
      </x:c>
      <x:c r="E94" s="4" t="str"/>
      <x:c r="F94" s="4" t="str"/>
      <x:c r="G94" s="4" t="str">
        <x:v>Supporting evidence only; map assertions to case IDs before claiming coverage.</x:v>
      </x:c>
      <x:c r="H94" s="25" t="str">
        <x:v>https://github.com/kapiltrip/VerificationLab/blob/0c649a2cbbeef29a88717dda465b6cf958a1bc15/exp4/exp4_tb_cla4_selfcheck.sv</x:v>
      </x:c>
      <x:c r="I94" s="4" t="str">
        <x:v>0c649a2cbbeef29a88717dda465b6cf958a1bc15</x:v>
      </x:c>
    </x:row>
    <x:row r="95" ht="54" customHeight="1">
      <x:c r="A95" s="15" t="str">
        <x:v>VerificationLab</x:v>
      </x:c>
      <x:c r="B95" s="15" t="str">
        <x:v>exp5/exp5_seq_det_1001_nonoverlap.sv</x:v>
      </x:c>
      <x:c r="C95" s="15" t="str">
        <x:v>RTL</x:v>
      </x:c>
      <x:c r="D95" s="15" t="str">
        <x:v>seq_det_1001_nonoverlap</x:v>
      </x:c>
      <x:c r="E95" s="15" t="str">
        <x:v>clk, rst_n, din</x:v>
      </x:c>
      <x:c r="F95" s="15" t="str">
        <x:v>dout</x:v>
      </x:c>
      <x:c r="G95" s="15" t="str">
        <x:v>LAB-012</x:v>
      </x:c>
      <x:c r="H95" s="26" t="str">
        <x:v>https://github.com/kapiltrip/VerificationLab/blob/0c649a2cbbeef29a88717dda465b6cf958a1bc15/exp5/exp5_seq_det_1001_nonoverlap.sv</x:v>
      </x:c>
      <x:c r="I95" s="15" t="str">
        <x:v>0c649a2cbbeef29a88717dda465b6cf958a1bc15</x:v>
      </x:c>
    </x:row>
    <x:row r="96" ht="54" customHeight="1">
      <x:c r="A96" s="4" t="str">
        <x:v>VerificationLab</x:v>
      </x:c>
      <x:c r="B96" s="4" t="str">
        <x:v>exp5/exp5_seq_det_1001_overlap.sv</x:v>
      </x:c>
      <x:c r="C96" s="4" t="str">
        <x:v>RTL</x:v>
      </x:c>
      <x:c r="D96" s="4" t="str">
        <x:v>seq_det_1001_overlap</x:v>
      </x:c>
      <x:c r="E96" s="4" t="str">
        <x:v>clk, rst_n, din</x:v>
      </x:c>
      <x:c r="F96" s="4" t="str">
        <x:v>dout</x:v>
      </x:c>
      <x:c r="G96" s="4" t="str">
        <x:v>LAB-013</x:v>
      </x:c>
      <x:c r="H96" s="25" t="str">
        <x:v>https://github.com/kapiltrip/VerificationLab/blob/0c649a2cbbeef29a88717dda465b6cf958a1bc15/exp5/exp5_seq_det_1001_overlap.sv</x:v>
      </x:c>
      <x:c r="I96" s="4" t="str">
        <x:v>0c649a2cbbeef29a88717dda465b6cf958a1bc15</x:v>
      </x:c>
    </x:row>
    <x:row r="97" ht="54" customHeight="1">
      <x:c r="A97" s="15" t="str">
        <x:v>VerificationLab</x:v>
      </x:c>
      <x:c r="B97" s="15" t="str">
        <x:v>exp5/exp5_tb_seq_detector_nonoverlap_fileio.sv</x:v>
      </x:c>
      <x:c r="C97" s="15" t="str">
        <x:v>Verification example</x:v>
      </x:c>
      <x:c r="D97" s="15" t="str">
        <x:v>tb_seq_detector_nonoverlap</x:v>
      </x:c>
      <x:c r="E97" s="15" t="str"/>
      <x:c r="F97" s="15" t="str"/>
      <x:c r="G97" s="15" t="str">
        <x:v>Supporting evidence only; map assertions to case IDs before claiming coverage.</x:v>
      </x:c>
      <x:c r="H97" s="26" t="str">
        <x:v>https://github.com/kapiltrip/VerificationLab/blob/0c649a2cbbeef29a88717dda465b6cf958a1bc15/exp5/exp5_tb_seq_detector_nonoverlap_fileio.sv</x:v>
      </x:c>
      <x:c r="I97" s="15" t="str">
        <x:v>0c649a2cbbeef29a88717dda465b6cf958a1bc15</x:v>
      </x:c>
    </x:row>
    <x:row r="98" ht="54" customHeight="1">
      <x:c r="A98" s="4" t="str">
        <x:v>VerificationLab</x:v>
      </x:c>
      <x:c r="B98" s="4" t="str">
        <x:v>exp5/exp5_tb_seq_detector_overlap_fileio.sv</x:v>
      </x:c>
      <x:c r="C98" s="4" t="str">
        <x:v>Verification example</x:v>
      </x:c>
      <x:c r="D98" s="4" t="str">
        <x:v>tb_seq_detector_overlap</x:v>
      </x:c>
      <x:c r="E98" s="4" t="str"/>
      <x:c r="F98" s="4" t="str"/>
      <x:c r="G98" s="4" t="str">
        <x:v>Supporting evidence only; map assertions to case IDs before claiming coverage.</x:v>
      </x:c>
      <x:c r="H98" s="25" t="str">
        <x:v>https://github.com/kapiltrip/VerificationLab/blob/0c649a2cbbeef29a88717dda465b6cf958a1bc15/exp5/exp5_tb_seq_detector_overlap_fileio.sv</x:v>
      </x:c>
      <x:c r="I98" s="4" t="str">
        <x:v>0c649a2cbbeef29a88717dda465b6cf958a1bc15</x:v>
      </x:c>
    </x:row>
    <x:row r="99" ht="54" customHeight="1">
      <x:c r="A99" s="15" t="str">
        <x:v>VerificationLab</x:v>
      </x:c>
      <x:c r="B99" s="15" t="str">
        <x:v>exp6/exp6_seq_det_1001_nonoverlap.sv</x:v>
      </x:c>
      <x:c r="C99" s="15" t="str">
        <x:v>RTL</x:v>
      </x:c>
      <x:c r="D99" s="15" t="str">
        <x:v>seq_det_1001_nonoverlap</x:v>
      </x:c>
      <x:c r="E99" s="15" t="str">
        <x:v>clk, rst_n, din</x:v>
      </x:c>
      <x:c r="F99" s="15" t="str">
        <x:v>dout</x:v>
      </x:c>
      <x:c r="G99" s="15" t="str">
        <x:v>LAB-014</x:v>
      </x:c>
      <x:c r="H99" s="26" t="str">
        <x:v>https://github.com/kapiltrip/VerificationLab/blob/0c649a2cbbeef29a88717dda465b6cf958a1bc15/exp6/exp6_seq_det_1001_nonoverlap.sv</x:v>
      </x:c>
      <x:c r="I99" s="15" t="str">
        <x:v>0c649a2cbbeef29a88717dda465b6cf958a1bc15</x:v>
      </x:c>
    </x:row>
    <x:row r="100" ht="54" customHeight="1">
      <x:c r="A100" s="4" t="str">
        <x:v>VerificationLab</x:v>
      </x:c>
      <x:c r="B100" s="4" t="str">
        <x:v>exp6/exp6_seq_det_1001_overlap.sv</x:v>
      </x:c>
      <x:c r="C100" s="4" t="str">
        <x:v>RTL</x:v>
      </x:c>
      <x:c r="D100" s="4" t="str">
        <x:v>seq_det_1001_overlap</x:v>
      </x:c>
      <x:c r="E100" s="4" t="str">
        <x:v>clk, rst_n, din</x:v>
      </x:c>
      <x:c r="F100" s="4" t="str">
        <x:v>dout</x:v>
      </x:c>
      <x:c r="G100" s="4" t="str">
        <x:v>LAB-015</x:v>
      </x:c>
      <x:c r="H100" s="25" t="str">
        <x:v>https://github.com/kapiltrip/VerificationLab/blob/0c649a2cbbeef29a88717dda465b6cf958a1bc15/exp6/exp6_seq_det_1001_overlap.sv</x:v>
      </x:c>
      <x:c r="I100" s="4" t="str">
        <x:v>0c649a2cbbeef29a88717dda465b6cf958a1bc15</x:v>
      </x:c>
    </x:row>
    <x:row r="101" ht="54" customHeight="1">
      <x:c r="A101" s="15" t="str">
        <x:v>VerificationLab</x:v>
      </x:c>
      <x:c r="B101" s="15" t="str">
        <x:v>exp6/exp6_tb_seq_detector_nonoverlap_fileio.sv</x:v>
      </x:c>
      <x:c r="C101" s="15" t="str">
        <x:v>Verification example</x:v>
      </x:c>
      <x:c r="D101" s="15" t="str">
        <x:v>tb_seq_detector_nonoverlap</x:v>
      </x:c>
      <x:c r="E101" s="15" t="str"/>
      <x:c r="F101" s="15" t="str"/>
      <x:c r="G101" s="15" t="str">
        <x:v>Supporting evidence only; map assertions to case IDs before claiming coverage.</x:v>
      </x:c>
      <x:c r="H101" s="26" t="str">
        <x:v>https://github.com/kapiltrip/VerificationLab/blob/0c649a2cbbeef29a88717dda465b6cf958a1bc15/exp6/exp6_tb_seq_detector_nonoverlap_fileio.sv</x:v>
      </x:c>
      <x:c r="I101" s="15" t="str">
        <x:v>0c649a2cbbeef29a88717dda465b6cf958a1bc15</x:v>
      </x:c>
    </x:row>
    <x:row r="102" ht="54" customHeight="1">
      <x:c r="A102" s="4" t="str">
        <x:v>VerificationLab</x:v>
      </x:c>
      <x:c r="B102" s="4" t="str">
        <x:v>exp6/exp6_tb_seq_detector_overlap_fileio.sv</x:v>
      </x:c>
      <x:c r="C102" s="4" t="str">
        <x:v>Verification example</x:v>
      </x:c>
      <x:c r="D102" s="4" t="str">
        <x:v>tb_seq_detector_overlap</x:v>
      </x:c>
      <x:c r="E102" s="4" t="str"/>
      <x:c r="F102" s="4" t="str"/>
      <x:c r="G102" s="4" t="str">
        <x:v>Supporting evidence only; map assertions to case IDs before claiming coverage.</x:v>
      </x:c>
      <x:c r="H102" s="25" t="str">
        <x:v>https://github.com/kapiltrip/VerificationLab/blob/0c649a2cbbeef29a88717dda465b6cf958a1bc15/exp6/exp6_tb_seq_detector_overlap_fileio.sv</x:v>
      </x:c>
      <x:c r="I102" s="4" t="str">
        <x:v>0c649a2cbbeef29a88717dda465b6cf958a1bc15</x:v>
      </x:c>
    </x:row>
    <x:row r="103" ht="54" customHeight="1">
      <x:c r="A103" s="15" t="str">
        <x:v>VerificationLab</x:v>
      </x:c>
      <x:c r="B103" s="15" t="str">
        <x:v>exp7/exp7_lfsr_parta_many_to_one.sv</x:v>
      </x:c>
      <x:c r="C103" s="15" t="str">
        <x:v>RTL</x:v>
      </x:c>
      <x:c r="D103" s="15" t="str">
        <x:v>lfsr_parta_many_to_one</x:v>
      </x:c>
      <x:c r="E103" s="15" t="str">
        <x:v>clk, rst_n, en</x:v>
      </x:c>
      <x:c r="F103" s="15" t="str">
        <x:v>q</x:v>
      </x:c>
      <x:c r="G103" s="15" t="str">
        <x:v>LAB-016</x:v>
      </x:c>
      <x:c r="H103" s="26" t="str">
        <x:v>https://github.com/kapiltrip/VerificationLab/blob/0c649a2cbbeef29a88717dda465b6cf958a1bc15/exp7/exp7_lfsr_parta_many_to_one.sv</x:v>
      </x:c>
      <x:c r="I103" s="15" t="str">
        <x:v>0c649a2cbbeef29a88717dda465b6cf958a1bc15</x:v>
      </x:c>
    </x:row>
    <x:row r="104" ht="54" customHeight="1">
      <x:c r="A104" s="4" t="str">
        <x:v>VerificationLab</x:v>
      </x:c>
      <x:c r="B104" s="4" t="str">
        <x:v>exp7/exp7_lfsr_partb_one_to_many.sv</x:v>
      </x:c>
      <x:c r="C104" s="4" t="str">
        <x:v>RTL</x:v>
      </x:c>
      <x:c r="D104" s="4" t="str">
        <x:v>lfsr_partb_one_to_many</x:v>
      </x:c>
      <x:c r="E104" s="4" t="str">
        <x:v>clk, rst_n, en</x:v>
      </x:c>
      <x:c r="F104" s="4" t="str">
        <x:v>q</x:v>
      </x:c>
      <x:c r="G104" s="4" t="str">
        <x:v>LAB-017</x:v>
      </x:c>
      <x:c r="H104" s="25" t="str">
        <x:v>https://github.com/kapiltrip/VerificationLab/blob/0c649a2cbbeef29a88717dda465b6cf958a1bc15/exp7/exp7_lfsr_partb_one_to_many.sv</x:v>
      </x:c>
      <x:c r="I104" s="4" t="str">
        <x:v>0c649a2cbbeef29a88717dda465b6cf958a1bc15</x:v>
      </x:c>
    </x:row>
    <x:row r="105" ht="54" customHeight="1">
      <x:c r="A105" s="15" t="str">
        <x:v>VerificationLab</x:v>
      </x:c>
      <x:c r="B105" s="15" t="str">
        <x:v>exp7/exp7_simple_exam_version.sv</x:v>
      </x:c>
      <x:c r="C105" s="15" t="str">
        <x:v>RTL</x:v>
      </x:c>
      <x:c r="D105" s="15" t="str">
        <x:v>fib_lfsr4, fib_lfsr8, gal_lfsr4, gal_lfsr8, exp7_fibonacci_tb, exp7_galois_tb</x:v>
      </x:c>
      <x:c r="E105" s="15" t="str">
        <x:v>clk, rst</x:v>
      </x:c>
      <x:c r="F105" s="15" t="str">
        <x:v>q</x:v>
      </x:c>
      <x:c r="G105" s="15" t="str">
        <x:v>LAB-018</x:v>
      </x:c>
      <x:c r="H105" s="26" t="str">
        <x:v>https://github.com/kapiltrip/VerificationLab/blob/0c649a2cbbeef29a88717dda465b6cf958a1bc15/exp7/exp7_simple_exam_version.sv</x:v>
      </x:c>
      <x:c r="I105" s="15" t="str">
        <x:v>0c649a2cbbeef29a88717dda465b6cf958a1bc15</x:v>
      </x:c>
    </x:row>
    <x:row r="106" ht="54" customHeight="1">
      <x:c r="A106" s="4" t="str">
        <x:v>VerificationLab</x:v>
      </x:c>
      <x:c r="B106" s="4" t="str">
        <x:v>exp7/exp7_tb_lfsr_parta.sv</x:v>
      </x:c>
      <x:c r="C106" s="4" t="str">
        <x:v>Verification example</x:v>
      </x:c>
      <x:c r="D106" s="4" t="str">
        <x:v>tb_lfsr_parta</x:v>
      </x:c>
      <x:c r="E106" s="4" t="str"/>
      <x:c r="F106" s="4" t="str"/>
      <x:c r="G106" s="4" t="str">
        <x:v>Supporting evidence only; map assertions to case IDs before claiming coverage.</x:v>
      </x:c>
      <x:c r="H106" s="25" t="str">
        <x:v>https://github.com/kapiltrip/VerificationLab/blob/0c649a2cbbeef29a88717dda465b6cf958a1bc15/exp7/exp7_tb_lfsr_parta.sv</x:v>
      </x:c>
      <x:c r="I106" s="4" t="str">
        <x:v>0c649a2cbbeef29a88717dda465b6cf958a1bc15</x:v>
      </x:c>
    </x:row>
    <x:row r="107" ht="54" customHeight="1">
      <x:c r="A107" s="15" t="str">
        <x:v>VerificationLab</x:v>
      </x:c>
      <x:c r="B107" s="15" t="str">
        <x:v>exp7/exp7_tb_lfsr_partb.sv</x:v>
      </x:c>
      <x:c r="C107" s="15" t="str">
        <x:v>Verification example</x:v>
      </x:c>
      <x:c r="D107" s="15" t="str">
        <x:v>tb_lfsr_partb</x:v>
      </x:c>
      <x:c r="E107" s="15" t="str"/>
      <x:c r="F107" s="15" t="str"/>
      <x:c r="G107" s="15" t="str">
        <x:v>Supporting evidence only; map assertions to case IDs before claiming coverage.</x:v>
      </x:c>
      <x:c r="H107" s="26" t="str">
        <x:v>https://github.com/kapiltrip/VerificationLab/blob/0c649a2cbbeef29a88717dda465b6cf958a1bc15/exp7/exp7_tb_lfsr_partb.sv</x:v>
      </x:c>
      <x:c r="I107" s="15" t="str">
        <x:v>0c649a2cbbeef29a88717dda465b6cf958a1bc15</x:v>
      </x:c>
    </x:row>
    <x:row r="108" ht="54" customHeight="1">
      <x:c r="A108" s="4" t="str">
        <x:v>VerificationLab</x:v>
      </x:c>
      <x:c r="B108" s="4" t="str">
        <x:v>exp9/exp9_cut_logic.sv</x:v>
      </x:c>
      <x:c r="C108" s="4" t="str">
        <x:v>RTL</x:v>
      </x:c>
      <x:c r="D108" s="4" t="str">
        <x:v>cut_logic</x:v>
      </x:c>
      <x:c r="E108" s="4" t="str">
        <x:v>x</x:v>
      </x:c>
      <x:c r="F108" s="4" t="str">
        <x:v>y</x:v>
      </x:c>
      <x:c r="G108" s="4" t="str">
        <x:v>LAB-019</x:v>
      </x:c>
      <x:c r="H108" s="25" t="str">
        <x:v>https://github.com/kapiltrip/VerificationLab/blob/0c649a2cbbeef29a88717dda465b6cf958a1bc15/exp9/exp9_cut_logic.sv</x:v>
      </x:c>
      <x:c r="I108" s="4" t="str">
        <x:v>0c649a2cbbeef29a88717dda465b6cf958a1bc15</x:v>
      </x:c>
    </x:row>
    <x:row r="109" ht="54" customHeight="1">
      <x:c r="A109" s="15" t="str">
        <x:v>VerificationLab</x:v>
      </x:c>
      <x:c r="B109" s="15" t="str">
        <x:v>exp9/exp9_lfsr4.sv</x:v>
      </x:c>
      <x:c r="C109" s="15" t="str">
        <x:v>RTL</x:v>
      </x:c>
      <x:c r="D109" s="15" t="str">
        <x:v>lfsr4</x:v>
      </x:c>
      <x:c r="E109" s="15" t="str">
        <x:v>clk, rst_n, en</x:v>
      </x:c>
      <x:c r="F109" s="15" t="str">
        <x:v>q</x:v>
      </x:c>
      <x:c r="G109" s="15" t="str">
        <x:v>LAB-020</x:v>
      </x:c>
      <x:c r="H109" s="26" t="str">
        <x:v>https://github.com/kapiltrip/VerificationLab/blob/0c649a2cbbeef29a88717dda465b6cf958a1bc15/exp9/exp9_lfsr4.sv</x:v>
      </x:c>
      <x:c r="I109" s="15" t="str">
        <x:v>0c649a2cbbeef29a88717dda465b6cf958a1bc15</x:v>
      </x:c>
    </x:row>
    <x:row r="110" ht="54" customHeight="1">
      <x:c r="A110" s="4" t="str">
        <x:v>VerificationLab</x:v>
      </x:c>
      <x:c r="B110" s="4" t="str">
        <x:v>exp9/exp9_lfsr8.sv</x:v>
      </x:c>
      <x:c r="C110" s="4" t="str">
        <x:v>RTL</x:v>
      </x:c>
      <x:c r="D110" s="4" t="str">
        <x:v>lfsr8</x:v>
      </x:c>
      <x:c r="E110" s="4" t="str">
        <x:v>clk, rst_n, en</x:v>
      </x:c>
      <x:c r="F110" s="4" t="str">
        <x:v>q</x:v>
      </x:c>
      <x:c r="G110" s="4" t="str">
        <x:v>LAB-021</x:v>
      </x:c>
      <x:c r="H110" s="25" t="str">
        <x:v>https://github.com/kapiltrip/VerificationLab/blob/0c649a2cbbeef29a88717dda465b6cf958a1bc15/exp9/exp9_lfsr8.sv</x:v>
      </x:c>
      <x:c r="I110" s="4" t="str">
        <x:v>0c649a2cbbeef29a88717dda465b6cf958a1bc15</x:v>
      </x:c>
    </x:row>
    <x:row r="111" ht="54" customHeight="1">
      <x:c r="A111" s="15" t="str">
        <x:v>VerificationLab</x:v>
      </x:c>
      <x:c r="B111" s="15" t="str">
        <x:v>exp9/exp9_tb_lfsr_fault_coverage.sv</x:v>
      </x:c>
      <x:c r="C111" s="15" t="str">
        <x:v>Existing testbench</x:v>
      </x:c>
      <x:c r="D111" s="15" t="str">
        <x:v>tb_lfsr_fault_coverage</x:v>
      </x:c>
      <x:c r="E111" s="15" t="str">
        <x:v>xv, input</x:v>
      </x:c>
      <x:c r="F111" s="15" t="str"/>
      <x:c r="G111" s="15" t="str">
        <x:v>Supporting evidence only; map assertions to case IDs before claiming coverage.</x:v>
      </x:c>
      <x:c r="H111" s="26" t="str">
        <x:v>https://github.com/kapiltrip/VerificationLab/blob/0c649a2cbbeef29a88717dda465b6cf958a1bc15/exp9/exp9_tb_lfsr_fault_coverage.sv</x:v>
      </x:c>
      <x:c r="I111" s="15" t="str">
        <x:v>0c649a2cbbeef29a88717dda465b6cf958a1bc15</x:v>
      </x:c>
    </x:row>
    <x:row r="112" ht="54" customHeight="1">
      <x:c r="A112" s="4" t="str">
        <x:v>VerificationLab</x:v>
      </x:c>
      <x:c r="B112" s="4" t="str">
        <x:v>q1_mux4/mux4to1.sv</x:v>
      </x:c>
      <x:c r="C112" s="4" t="str">
        <x:v>RTL</x:v>
      </x:c>
      <x:c r="D112" s="4" t="str">
        <x:v>mux4to1</x:v>
      </x:c>
      <x:c r="E112" s="4" t="str">
        <x:v>d, sel</x:v>
      </x:c>
      <x:c r="F112" s="4" t="str">
        <x:v>y</x:v>
      </x:c>
      <x:c r="G112" s="4" t="str">
        <x:v>LAB-022</x:v>
      </x:c>
      <x:c r="H112" s="25" t="str">
        <x:v>https://github.com/kapiltrip/VerificationLab/blob/0c649a2cbbeef29a88717dda465b6cf958a1bc15/q1_mux4/mux4to1.sv</x:v>
      </x:c>
      <x:c r="I112" s="4" t="str">
        <x:v>0c649a2cbbeef29a88717dda465b6cf958a1bc15</x:v>
      </x:c>
    </x:row>
    <x:row r="113" ht="54" customHeight="1">
      <x:c r="A113" s="15" t="str">
        <x:v>VerificationLab</x:v>
      </x:c>
      <x:c r="B113" s="15" t="str">
        <x:v>q1_mux4/tb_mux4to1.sv</x:v>
      </x:c>
      <x:c r="C113" s="15" t="str">
        <x:v>Existing testbench</x:v>
      </x:c>
      <x:c r="D113" s="15" t="str">
        <x:v>tb_mux4to1</x:v>
      </x:c>
      <x:c r="E113" s="15" t="str"/>
      <x:c r="F113" s="15" t="str"/>
      <x:c r="G113" s="15" t="str">
        <x:v>Supporting evidence only; map assertions to case IDs before claiming coverage.</x:v>
      </x:c>
      <x:c r="H113" s="26" t="str">
        <x:v>https://github.com/kapiltrip/VerificationLab/blob/0c649a2cbbeef29a88717dda465b6cf958a1bc15/q1_mux4/tb_mux4to1.sv</x:v>
      </x:c>
      <x:c r="I113" s="15" t="str">
        <x:v>0c649a2cbbeef29a88717dda465b6cf958a1bc15</x:v>
      </x:c>
    </x:row>
    <x:row r="114" ht="54" customHeight="1">
      <x:c r="A114" s="4" t="str">
        <x:v>VerificationLab</x:v>
      </x:c>
      <x:c r="B114" s="4" t="str">
        <x:v>q2_full_adder/full_adder.sv</x:v>
      </x:c>
      <x:c r="C114" s="4" t="str">
        <x:v>RTL</x:v>
      </x:c>
      <x:c r="D114" s="4" t="str">
        <x:v>full_adder</x:v>
      </x:c>
      <x:c r="E114" s="4" t="str">
        <x:v>a, b, cin</x:v>
      </x:c>
      <x:c r="F114" s="4" t="str">
        <x:v>sum, cout</x:v>
      </x:c>
      <x:c r="G114" s="4" t="str">
        <x:v>LAB-023</x:v>
      </x:c>
      <x:c r="H114" s="25" t="str">
        <x:v>https://github.com/kapiltrip/VerificationLab/blob/0c649a2cbbeef29a88717dda465b6cf958a1bc15/q2_full_adder/full_adder.sv</x:v>
      </x:c>
      <x:c r="I114" s="4" t="str">
        <x:v>0c649a2cbbeef29a88717dda465b6cf958a1bc15</x:v>
      </x:c>
    </x:row>
    <x:row r="115" ht="54" customHeight="1">
      <x:c r="A115" s="15" t="str">
        <x:v>VerificationLab</x:v>
      </x:c>
      <x:c r="B115" s="15" t="str">
        <x:v>q2_full_adder/tb_full_adder_selfcheck.sv</x:v>
      </x:c>
      <x:c r="C115" s="15" t="str">
        <x:v>Existing testbench</x:v>
      </x:c>
      <x:c r="D115" s="15" t="str">
        <x:v>tb_full_adder_selfcheck</x:v>
      </x:c>
      <x:c r="E115" s="15" t="str"/>
      <x:c r="F115" s="15" t="str"/>
      <x:c r="G115" s="15" t="str">
        <x:v>Supporting evidence only; map assertions to case IDs before claiming coverage.</x:v>
      </x:c>
      <x:c r="H115" s="26" t="str">
        <x:v>https://github.com/kapiltrip/VerificationLab/blob/0c649a2cbbeef29a88717dda465b6cf958a1bc15/q2_full_adder/tb_full_adder_selfcheck.sv</x:v>
      </x:c>
      <x:c r="I115" s="15" t="str">
        <x:v>0c649a2cbbeef29a88717dda465b6cf958a1bc15</x:v>
      </x:c>
    </x:row>
    <x:row r="116" ht="54" customHeight="1">
      <x:c r="A116" s="4" t="str">
        <x:v>VerificationLab</x:v>
      </x:c>
      <x:c r="B116" s="4" t="str">
        <x:v>q3_cla4/cla4.sv</x:v>
      </x:c>
      <x:c r="C116" s="4" t="str">
        <x:v>RTL</x:v>
      </x:c>
      <x:c r="D116" s="4" t="str">
        <x:v>cla4</x:v>
      </x:c>
      <x:c r="E116" s="4" t="str">
        <x:v>a, b, cin</x:v>
      </x:c>
      <x:c r="F116" s="4" t="str">
        <x:v>sum, cout</x:v>
      </x:c>
      <x:c r="G116" s="4" t="str">
        <x:v>LAB-024</x:v>
      </x:c>
      <x:c r="H116" s="25" t="str">
        <x:v>https://github.com/kapiltrip/VerificationLab/blob/0c649a2cbbeef29a88717dda465b6cf958a1bc15/q3_cla4/cla4.sv</x:v>
      </x:c>
      <x:c r="I116" s="4" t="str">
        <x:v>0c649a2cbbeef29a88717dda465b6cf958a1bc15</x:v>
      </x:c>
    </x:row>
    <x:row r="117" ht="54" customHeight="1">
      <x:c r="A117" s="15" t="str">
        <x:v>VerificationLab</x:v>
      </x:c>
      <x:c r="B117" s="15" t="str">
        <x:v>q3_cla4/tb_cla4_counter.sv</x:v>
      </x:c>
      <x:c r="C117" s="15" t="str">
        <x:v>Existing testbench</x:v>
      </x:c>
      <x:c r="D117" s="15" t="str">
        <x:v>tb_cla4_counter</x:v>
      </x:c>
      <x:c r="E117" s="15" t="str"/>
      <x:c r="F117" s="15" t="str"/>
      <x:c r="G117" s="15" t="str">
        <x:v>Supporting evidence only; map assertions to case IDs before claiming coverage.</x:v>
      </x:c>
      <x:c r="H117" s="26" t="str">
        <x:v>https://github.com/kapiltrip/VerificationLab/blob/0c649a2cbbeef29a88717dda465b6cf958a1bc15/q3_cla4/tb_cla4_counter.sv</x:v>
      </x:c>
      <x:c r="I117" s="15" t="str">
        <x:v>0c649a2cbbeef29a88717dda465b6cf958a1bc15</x:v>
      </x:c>
    </x:row>
    <x:row r="118" ht="54" customHeight="1">
      <x:c r="A118" s="4" t="str">
        <x:v>VerificationLab</x:v>
      </x:c>
      <x:c r="B118" s="4" t="str">
        <x:v>q3_cla4/tb_cla4_selfcheck.sv</x:v>
      </x:c>
      <x:c r="C118" s="4" t="str">
        <x:v>Existing testbench</x:v>
      </x:c>
      <x:c r="D118" s="4" t="str">
        <x:v>tb_cla4_selfcheck</x:v>
      </x:c>
      <x:c r="E118" s="4" t="str"/>
      <x:c r="F118" s="4" t="str"/>
      <x:c r="G118" s="4" t="str">
        <x:v>Supporting evidence only; map assertions to case IDs before claiming coverage.</x:v>
      </x:c>
      <x:c r="H118" s="25" t="str">
        <x:v>https://github.com/kapiltrip/VerificationLab/blob/0c649a2cbbeef29a88717dda465b6cf958a1bc15/q3_cla4/tb_cla4_selfcheck.sv</x:v>
      </x:c>
      <x:c r="I118" s="4" t="str">
        <x:v>0c649a2cbbeef29a88717dda465b6cf958a1bc15</x:v>
      </x:c>
    </x:row>
    <x:row r="119" ht="54" customHeight="1">
      <x:c r="A119" s="15" t="str">
        <x:v>VerificationLab</x:v>
      </x:c>
      <x:c r="B119" s="15" t="str">
        <x:v>q5_sequence_detector/seq_det_1001_mealy_overlap.sv</x:v>
      </x:c>
      <x:c r="C119" s="15" t="str">
        <x:v>RTL</x:v>
      </x:c>
      <x:c r="D119" s="15" t="str">
        <x:v>seq_det_1001_mealy_overlap</x:v>
      </x:c>
      <x:c r="E119" s="15" t="str">
        <x:v>clk, rst_n, din</x:v>
      </x:c>
      <x:c r="F119" s="15" t="str">
        <x:v>dout</x:v>
      </x:c>
      <x:c r="G119" s="15" t="str">
        <x:v>LAB-025</x:v>
      </x:c>
      <x:c r="H119" s="26" t="str">
        <x:v>https://github.com/kapiltrip/VerificationLab/blob/0c649a2cbbeef29a88717dda465b6cf958a1bc15/q5_sequence_detector/seq_det_1001_mealy_overlap.sv</x:v>
      </x:c>
      <x:c r="I119" s="15" t="str">
        <x:v>0c649a2cbbeef29a88717dda465b6cf958a1bc15</x:v>
      </x:c>
    </x:row>
    <x:row r="120" ht="54" customHeight="1">
      <x:c r="A120" s="4" t="str">
        <x:v>VerificationLab</x:v>
      </x:c>
      <x:c r="B120" s="4" t="str">
        <x:v>q5_sequence_detector/seq_det_1001_moore_overlap.sv</x:v>
      </x:c>
      <x:c r="C120" s="4" t="str">
        <x:v>RTL</x:v>
      </x:c>
      <x:c r="D120" s="4" t="str">
        <x:v>seq_det_1001_moore_overlap</x:v>
      </x:c>
      <x:c r="E120" s="4" t="str">
        <x:v>clk, rst_n, din</x:v>
      </x:c>
      <x:c r="F120" s="4" t="str">
        <x:v>dout</x:v>
      </x:c>
      <x:c r="G120" s="4" t="str">
        <x:v>LAB-026</x:v>
      </x:c>
      <x:c r="H120" s="25" t="str">
        <x:v>https://github.com/kapiltrip/VerificationLab/blob/0c649a2cbbeef29a88717dda465b6cf958a1bc15/q5_sequence_detector/seq_det_1001_moore_overlap.sv</x:v>
      </x:c>
      <x:c r="I120" s="4" t="str">
        <x:v>0c649a2cbbeef29a88717dda465b6cf958a1bc15</x:v>
      </x:c>
    </x:row>
    <x:row r="121" ht="54" customHeight="1">
      <x:c r="A121" s="15" t="str">
        <x:v>VerificationLab</x:v>
      </x:c>
      <x:c r="B121" s="15" t="str">
        <x:v>q5_sequence_detector/tb_seq_detector_fileio.sv</x:v>
      </x:c>
      <x:c r="C121" s="15" t="str">
        <x:v>Existing testbench</x:v>
      </x:c>
      <x:c r="D121" s="15" t="str">
        <x:v>tb_seq_detector_fileio</x:v>
      </x:c>
      <x:c r="E121" s="15" t="str"/>
      <x:c r="F121" s="15" t="str"/>
      <x:c r="G121" s="15" t="str">
        <x:v>Supporting evidence only; map assertions to case IDs before claiming coverage.</x:v>
      </x:c>
      <x:c r="H121" s="26" t="str">
        <x:v>https://github.com/kapiltrip/VerificationLab/blob/0c649a2cbbeef29a88717dda465b6cf958a1bc15/q5_sequence_detector/tb_seq_detector_fileio.sv</x:v>
      </x:c>
      <x:c r="I121" s="15" t="str">
        <x:v>0c649a2cbbeef29a88717dda465b6cf958a1bc15</x:v>
      </x:c>
    </x:row>
    <x:row r="122" ht="54" customHeight="1">
      <x:c r="A122" s="4" t="str">
        <x:v>VerificationLab</x:v>
      </x:c>
      <x:c r="B122" s="4" t="str">
        <x:v>q5_sequence_detector/tb_seq_detector_mealy_fileio.sv</x:v>
      </x:c>
      <x:c r="C122" s="4" t="str">
        <x:v>Existing testbench</x:v>
      </x:c>
      <x:c r="D122" s="4" t="str">
        <x:v>tb_seq_detector_mealy_fileio</x:v>
      </x:c>
      <x:c r="E122" s="4" t="str"/>
      <x:c r="F122" s="4" t="str"/>
      <x:c r="G122" s="4" t="str">
        <x:v>Supporting evidence only; map assertions to case IDs before claiming coverage.</x:v>
      </x:c>
      <x:c r="H122" s="25" t="str">
        <x:v>https://github.com/kapiltrip/VerificationLab/blob/0c649a2cbbeef29a88717dda465b6cf958a1bc15/q5_sequence_detector/tb_seq_detector_mealy_fileio.sv</x:v>
      </x:c>
      <x:c r="I122" s="4" t="str">
        <x:v>0c649a2cbbeef29a88717dda465b6cf958a1bc15</x:v>
      </x:c>
    </x:row>
    <x:row r="123" ht="54" customHeight="1">
      <x:c r="A123" s="15" t="str">
        <x:v>VerificationLab</x:v>
      </x:c>
      <x:c r="B123" s="15" t="str">
        <x:v>q5_sequence_detector/tb_seq_detector_moore_fileio.sv</x:v>
      </x:c>
      <x:c r="C123" s="15" t="str">
        <x:v>Existing testbench</x:v>
      </x:c>
      <x:c r="D123" s="15" t="str">
        <x:v>tb_seq_detector_moore_fileio</x:v>
      </x:c>
      <x:c r="E123" s="15" t="str"/>
      <x:c r="F123" s="15" t="str"/>
      <x:c r="G123" s="15" t="str">
        <x:v>Supporting evidence only; map assertions to case IDs before claiming coverage.</x:v>
      </x:c>
      <x:c r="H123" s="26" t="str">
        <x:v>https://github.com/kapiltrip/VerificationLab/blob/0c649a2cbbeef29a88717dda465b6cf958a1bc15/q5_sequence_detector/tb_seq_detector_moore_fileio.sv</x:v>
      </x:c>
      <x:c r="I123" s="15" t="str">
        <x:v>0c649a2cbbeef29a88717dda465b6cf958a1bc15</x:v>
      </x:c>
    </x:row>
    <x:row r="124" ht="54" customHeight="1">
      <x:c r="A124" s="4" t="str">
        <x:v>VerificationLab</x:v>
      </x:c>
      <x:c r="B124" s="4" t="str">
        <x:v>q9_lfsr_fault_coverage/cut_logic.sv</x:v>
      </x:c>
      <x:c r="C124" s="4" t="str">
        <x:v>RTL</x:v>
      </x:c>
      <x:c r="D124" s="4" t="str">
        <x:v>cut_logic</x:v>
      </x:c>
      <x:c r="E124" s="4" t="str">
        <x:v>x</x:v>
      </x:c>
      <x:c r="F124" s="4" t="str">
        <x:v>y</x:v>
      </x:c>
      <x:c r="G124" s="4" t="str">
        <x:v>LAB-027</x:v>
      </x:c>
      <x:c r="H124" s="25" t="str">
        <x:v>https://github.com/kapiltrip/VerificationLab/blob/0c649a2cbbeef29a88717dda465b6cf958a1bc15/q9_lfsr_fault_coverage/cut_logic.sv</x:v>
      </x:c>
      <x:c r="I124" s="4" t="str">
        <x:v>0c649a2cbbeef29a88717dda465b6cf958a1bc15</x:v>
      </x:c>
    </x:row>
    <x:row r="125" ht="54" customHeight="1">
      <x:c r="A125" s="15" t="str">
        <x:v>VerificationLab</x:v>
      </x:c>
      <x:c r="B125" s="15" t="str">
        <x:v>q9_lfsr_fault_coverage/lfsr4.sv</x:v>
      </x:c>
      <x:c r="C125" s="15" t="str">
        <x:v>RTL</x:v>
      </x:c>
      <x:c r="D125" s="15" t="str">
        <x:v>lfsr4</x:v>
      </x:c>
      <x:c r="E125" s="15" t="str">
        <x:v>clk, rst_n, en</x:v>
      </x:c>
      <x:c r="F125" s="15" t="str">
        <x:v>q</x:v>
      </x:c>
      <x:c r="G125" s="15" t="str">
        <x:v>LAB-028</x:v>
      </x:c>
      <x:c r="H125" s="26" t="str">
        <x:v>https://github.com/kapiltrip/VerificationLab/blob/0c649a2cbbeef29a88717dda465b6cf958a1bc15/q9_lfsr_fault_coverage/lfsr4.sv</x:v>
      </x:c>
      <x:c r="I125" s="15" t="str">
        <x:v>0c649a2cbbeef29a88717dda465b6cf958a1bc15</x:v>
      </x:c>
    </x:row>
    <x:row r="126" ht="54" customHeight="1">
      <x:c r="A126" s="4" t="str">
        <x:v>VerificationLab</x:v>
      </x:c>
      <x:c r="B126" s="4" t="str">
        <x:v>q9_lfsr_fault_coverage/lfsr8.sv</x:v>
      </x:c>
      <x:c r="C126" s="4" t="str">
        <x:v>RTL</x:v>
      </x:c>
      <x:c r="D126" s="4" t="str">
        <x:v>lfsr8</x:v>
      </x:c>
      <x:c r="E126" s="4" t="str">
        <x:v>clk, rst_n, en</x:v>
      </x:c>
      <x:c r="F126" s="4" t="str">
        <x:v>q</x:v>
      </x:c>
      <x:c r="G126" s="4" t="str">
        <x:v>LAB-029</x:v>
      </x:c>
      <x:c r="H126" s="25" t="str">
        <x:v>https://github.com/kapiltrip/VerificationLab/blob/0c649a2cbbeef29a88717dda465b6cf958a1bc15/q9_lfsr_fault_coverage/lfsr8.sv</x:v>
      </x:c>
      <x:c r="I126" s="4" t="str">
        <x:v>0c649a2cbbeef29a88717dda465b6cf958a1bc15</x:v>
      </x:c>
    </x:row>
    <x:row r="127" ht="54" customHeight="1">
      <x:c r="A127" s="15" t="str">
        <x:v>VerificationLab</x:v>
      </x:c>
      <x:c r="B127" s="15" t="str">
        <x:v>q9_lfsr_fault_coverage/tb_lfsr_fault_coverage.sv</x:v>
      </x:c>
      <x:c r="C127" s="15" t="str">
        <x:v>Existing testbench</x:v>
      </x:c>
      <x:c r="D127" s="15" t="str">
        <x:v>tb_lfsr_fault_coverage</x:v>
      </x:c>
      <x:c r="E127" s="15" t="str">
        <x:v>xv, input</x:v>
      </x:c>
      <x:c r="F127" s="15" t="str"/>
      <x:c r="G127" s="15" t="str">
        <x:v>Supporting evidence only; map assertions to case IDs before claiming coverage.</x:v>
      </x:c>
      <x:c r="H127" s="26" t="str">
        <x:v>https://github.com/kapiltrip/VerificationLab/blob/0c649a2cbbeef29a88717dda465b6cf958a1bc15/q9_lfsr_fault_coverage/tb_lfsr_fault_coverage.sv</x:v>
      </x:c>
      <x:c r="I127" s="15" t="str">
        <x:v>0c649a2cbbeef29a88717dda465b6cf958a1bc15</x:v>
      </x:c>
    </x:row>
    <x:row r="128" ht="54" customHeight="1">
      <x:c r="A128" s="4" t="str">
        <x:v>VerificationLab</x:v>
      </x:c>
      <x:c r="B128" s="4" t="str">
        <x:v>simplified/exp1_mux4to1/code/mux4to1.sv</x:v>
      </x:c>
      <x:c r="C128" s="4" t="str">
        <x:v>RTL</x:v>
      </x:c>
      <x:c r="D128" s="4" t="str">
        <x:v>mux4to1</x:v>
      </x:c>
      <x:c r="E128" s="4" t="str">
        <x:v>d, sel</x:v>
      </x:c>
      <x:c r="F128" s="4" t="str">
        <x:v>y</x:v>
      </x:c>
      <x:c r="G128" s="4" t="str">
        <x:v>LAB-030</x:v>
      </x:c>
      <x:c r="H128" s="25" t="str">
        <x:v>https://github.com/kapiltrip/VerificationLab/blob/0c649a2cbbeef29a88717dda465b6cf958a1bc15/simplified/exp1_mux4to1/code/mux4to1.sv</x:v>
      </x:c>
      <x:c r="I128" s="4" t="str">
        <x:v>0c649a2cbbeef29a88717dda465b6cf958a1bc15</x:v>
      </x:c>
    </x:row>
    <x:row r="129" ht="54" customHeight="1">
      <x:c r="A129" s="15" t="str">
        <x:v>VerificationLab</x:v>
      </x:c>
      <x:c r="B129" s="15" t="str">
        <x:v>simplified/exp1_mux4to1/tb/tb_mux4to1.sv</x:v>
      </x:c>
      <x:c r="C129" s="15" t="str">
        <x:v>Existing testbench</x:v>
      </x:c>
      <x:c r="D129" s="15" t="str">
        <x:v>tb_mux4to1</x:v>
      </x:c>
      <x:c r="E129" s="15" t="str"/>
      <x:c r="F129" s="15" t="str"/>
      <x:c r="G129" s="15" t="str">
        <x:v>Supporting evidence only; map assertions to case IDs before claiming coverage.</x:v>
      </x:c>
      <x:c r="H129" s="26" t="str">
        <x:v>https://github.com/kapiltrip/VerificationLab/blob/0c649a2cbbeef29a88717dda465b6cf958a1bc15/simplified/exp1_mux4to1/tb/tb_mux4to1.sv</x:v>
      </x:c>
      <x:c r="I129" s="15" t="str">
        <x:v>0c649a2cbbeef29a88717dda465b6cf958a1bc15</x:v>
      </x:c>
    </x:row>
    <x:row r="130" ht="54" customHeight="1">
      <x:c r="A130" s="4" t="str">
        <x:v>VerificationLab</x:v>
      </x:c>
      <x:c r="B130" s="4" t="str">
        <x:v>simplified/exp2_full_adder_fault/code/full_adder_fault.sv</x:v>
      </x:c>
      <x:c r="C130" s="4" t="str">
        <x:v>RTL</x:v>
      </x:c>
      <x:c r="D130" s="4" t="str">
        <x:v>full_adder_fault</x:v>
      </x:c>
      <x:c r="E130" s="4" t="str">
        <x:v>a, b, cin, fault_en, fault_node, stuck_val</x:v>
      </x:c>
      <x:c r="F130" s="4" t="str">
        <x:v>sum, cout</x:v>
      </x:c>
      <x:c r="G130" s="4" t="str">
        <x:v>LAB-003</x:v>
      </x:c>
      <x:c r="H130" s="25" t="str">
        <x:v>https://github.com/kapiltrip/VerificationLab/blob/0c649a2cbbeef29a88717dda465b6cf958a1bc15/simplified/exp2_full_adder_fault/code/full_adder_fault.sv</x:v>
      </x:c>
      <x:c r="I130" s="4" t="str">
        <x:v>0c649a2cbbeef29a88717dda465b6cf958a1bc15</x:v>
      </x:c>
    </x:row>
    <x:row r="131" ht="54" customHeight="1">
      <x:c r="A131" s="15" t="str">
        <x:v>VerificationLab</x:v>
      </x:c>
      <x:c r="B131" s="15" t="str">
        <x:v>simplified/exp2_full_adder_fault/tb/tb_full_adder_fault.sv</x:v>
      </x:c>
      <x:c r="C131" s="15" t="str">
        <x:v>Existing testbench</x:v>
      </x:c>
      <x:c r="D131" s="15" t="str">
        <x:v>tb_full_adder_fault</x:v>
      </x:c>
      <x:c r="E131" s="15" t="str"/>
      <x:c r="F131" s="15" t="str"/>
      <x:c r="G131" s="15" t="str">
        <x:v>Supporting evidence only; map assertions to case IDs before claiming coverage.</x:v>
      </x:c>
      <x:c r="H131" s="26" t="str">
        <x:v>https://github.com/kapiltrip/VerificationLab/blob/0c649a2cbbeef29a88717dda465b6cf958a1bc15/simplified/exp2_full_adder_fault/tb/tb_full_adder_fault.sv</x:v>
      </x:c>
      <x:c r="I131" s="15" t="str">
        <x:v>0c649a2cbbeef29a88717dda465b6cf958a1bc15</x:v>
      </x:c>
    </x:row>
    <x:row r="132" ht="54" customHeight="1">
      <x:c r="A132" s="4" t="str">
        <x:v>VerificationLab</x:v>
      </x:c>
      <x:c r="B132" s="4" t="str">
        <x:v>simplified/exp3_xor_fault_equiv/code/xor_fault_equiv.sv</x:v>
      </x:c>
      <x:c r="C132" s="4" t="str">
        <x:v>RTL</x:v>
      </x:c>
      <x:c r="D132" s="4" t="str">
        <x:v>xor_fault_equiv</x:v>
      </x:c>
      <x:c r="E132" s="4" t="str">
        <x:v>a, b, fault_en, fault_id, stuck_val</x:v>
      </x:c>
      <x:c r="F132" s="4" t="str">
        <x:v>y</x:v>
      </x:c>
      <x:c r="G132" s="4" t="str">
        <x:v>LAB-004</x:v>
      </x:c>
      <x:c r="H132" s="25" t="str">
        <x:v>https://github.com/kapiltrip/VerificationLab/blob/0c649a2cbbeef29a88717dda465b6cf958a1bc15/simplified/exp3_xor_fault_equiv/code/xor_fault_equiv.sv</x:v>
      </x:c>
      <x:c r="I132" s="4" t="str">
        <x:v>0c649a2cbbeef29a88717dda465b6cf958a1bc15</x:v>
      </x:c>
    </x:row>
    <x:row r="133" ht="54" customHeight="1">
      <x:c r="A133" s="15" t="str">
        <x:v>VerificationLab</x:v>
      </x:c>
      <x:c r="B133" s="15" t="str">
        <x:v>simplified/exp3_xor_fault_equiv/tb/tb_xor_fault_equiv.sv</x:v>
      </x:c>
      <x:c r="C133" s="15" t="str">
        <x:v>Existing testbench</x:v>
      </x:c>
      <x:c r="D133" s="15" t="str">
        <x:v>tb_xor_fault_equiv</x:v>
      </x:c>
      <x:c r="E133" s="15" t="str"/>
      <x:c r="F133" s="15" t="str"/>
      <x:c r="G133" s="15" t="str">
        <x:v>Supporting evidence only; map assertions to case IDs before claiming coverage.</x:v>
      </x:c>
      <x:c r="H133" s="26" t="str">
        <x:v>https://github.com/kapiltrip/VerificationLab/blob/0c649a2cbbeef29a88717dda465b6cf958a1bc15/simplified/exp3_xor_fault_equiv/tb/tb_xor_fault_equiv.sv</x:v>
      </x:c>
      <x:c r="I133" s="15" t="str">
        <x:v>0c649a2cbbeef29a88717dda465b6cf958a1bc15</x:v>
      </x:c>
    </x:row>
    <x:row r="134" ht="54" customHeight="1">
      <x:c r="A134" s="4" t="str">
        <x:v>VerificationLab</x:v>
      </x:c>
      <x:c r="B134" s="4" t="str">
        <x:v>simplified/exp4_cla4/code/cla4.sv</x:v>
      </x:c>
      <x:c r="C134" s="4" t="str">
        <x:v>RTL</x:v>
      </x:c>
      <x:c r="D134" s="4" t="str">
        <x:v>cla4</x:v>
      </x:c>
      <x:c r="E134" s="4" t="str">
        <x:v>a, b, cin</x:v>
      </x:c>
      <x:c r="F134" s="4" t="str">
        <x:v>sum, cout</x:v>
      </x:c>
      <x:c r="G134" s="4" t="str">
        <x:v>LAB-031</x:v>
      </x:c>
      <x:c r="H134" s="25" t="str">
        <x:v>https://github.com/kapiltrip/VerificationLab/blob/0c649a2cbbeef29a88717dda465b6cf958a1bc15/simplified/exp4_cla4/code/cla4.sv</x:v>
      </x:c>
      <x:c r="I134" s="4" t="str">
        <x:v>0c649a2cbbeef29a88717dda465b6cf958a1bc15</x:v>
      </x:c>
    </x:row>
    <x:row r="135" ht="54" customHeight="1">
      <x:c r="A135" s="15" t="str">
        <x:v>VerificationLab</x:v>
      </x:c>
      <x:c r="B135" s="15" t="str">
        <x:v>simplified/exp4_cla4/tb/tb_cla4.sv</x:v>
      </x:c>
      <x:c r="C135" s="15" t="str">
        <x:v>Existing testbench</x:v>
      </x:c>
      <x:c r="D135" s="15" t="str">
        <x:v>tb_cla4</x:v>
      </x:c>
      <x:c r="E135" s="15" t="str"/>
      <x:c r="F135" s="15" t="str"/>
      <x:c r="G135" s="15" t="str">
        <x:v>Supporting evidence only; map assertions to case IDs before claiming coverage.</x:v>
      </x:c>
      <x:c r="H135" s="26" t="str">
        <x:v>https://github.com/kapiltrip/VerificationLab/blob/0c649a2cbbeef29a88717dda465b6cf958a1bc15/simplified/exp4_cla4/tb/tb_cla4.sv</x:v>
      </x:c>
      <x:c r="I135" s="15" t="str">
        <x:v>0c649a2cbbeef29a88717dda465b6cf958a1bc15</x:v>
      </x:c>
    </x:row>
    <x:row r="136" ht="54" customHeight="1">
      <x:c r="A136" s="4" t="str">
        <x:v>VerificationLab</x:v>
      </x:c>
      <x:c r="B136" s="4" t="str">
        <x:v>simplified/exp5_seq_detector_mealy/code/seq_det_1001_mealy.sv</x:v>
      </x:c>
      <x:c r="C136" s="4" t="str">
        <x:v>RTL</x:v>
      </x:c>
      <x:c r="D136" s="4" t="str">
        <x:v>seq_det_1001_mealy_nonoverlap, seq_det_1001_mealy_overlap</x:v>
      </x:c>
      <x:c r="E136" s="4" t="str">
        <x:v>clk, rst, din</x:v>
      </x:c>
      <x:c r="F136" s="4" t="str">
        <x:v>dout</x:v>
      </x:c>
      <x:c r="G136" s="4" t="str">
        <x:v>LAB-032</x:v>
      </x:c>
      <x:c r="H136" s="25" t="str">
        <x:v>https://github.com/kapiltrip/VerificationLab/blob/0c649a2cbbeef29a88717dda465b6cf958a1bc15/simplified/exp5_seq_detector_mealy/code/seq_det_1001_mealy.sv</x:v>
      </x:c>
      <x:c r="I136" s="4" t="str">
        <x:v>0c649a2cbbeef29a88717dda465b6cf958a1bc15</x:v>
      </x:c>
    </x:row>
    <x:row r="137" ht="54" customHeight="1">
      <x:c r="A137" s="15" t="str">
        <x:v>VerificationLab</x:v>
      </x:c>
      <x:c r="B137" s="15" t="str">
        <x:v>simplified/exp5_seq_detector_mealy/tb/tb_seq_detector_mealy.sv</x:v>
      </x:c>
      <x:c r="C137" s="15" t="str">
        <x:v>Existing testbench</x:v>
      </x:c>
      <x:c r="D137" s="15" t="str">
        <x:v>tb_seq_detector_mealy</x:v>
      </x:c>
      <x:c r="E137" s="15" t="str"/>
      <x:c r="F137" s="15" t="str"/>
      <x:c r="G137" s="15" t="str">
        <x:v>Supporting evidence only; map assertions to case IDs before claiming coverage.</x:v>
      </x:c>
      <x:c r="H137" s="26" t="str">
        <x:v>https://github.com/kapiltrip/VerificationLab/blob/0c649a2cbbeef29a88717dda465b6cf958a1bc15/simplified/exp5_seq_detector_mealy/tb/tb_seq_detector_mealy.sv</x:v>
      </x:c>
      <x:c r="I137" s="15" t="str">
        <x:v>0c649a2cbbeef29a88717dda465b6cf958a1bc15</x:v>
      </x:c>
    </x:row>
    <x:row r="138" ht="54" customHeight="1">
      <x:c r="A138" s="4" t="str">
        <x:v>VerificationLab</x:v>
      </x:c>
      <x:c r="B138" s="4" t="str">
        <x:v>simplified/exp6_seq_detector_moore/code/seq_det_1001_moore.sv</x:v>
      </x:c>
      <x:c r="C138" s="4" t="str">
        <x:v>RTL</x:v>
      </x:c>
      <x:c r="D138" s="4" t="str">
        <x:v>seq_det_1001_moore_nonoverlap, seq_det_1001_moore_overlap</x:v>
      </x:c>
      <x:c r="E138" s="4" t="str">
        <x:v>clk, rst, din</x:v>
      </x:c>
      <x:c r="F138" s="4" t="str">
        <x:v>dout</x:v>
      </x:c>
      <x:c r="G138" s="4" t="str">
        <x:v>LAB-033</x:v>
      </x:c>
      <x:c r="H138" s="25" t="str">
        <x:v>https://github.com/kapiltrip/VerificationLab/blob/0c649a2cbbeef29a88717dda465b6cf958a1bc15/simplified/exp6_seq_detector_moore/code/seq_det_1001_moore.sv</x:v>
      </x:c>
      <x:c r="I138" s="4" t="str">
        <x:v>0c649a2cbbeef29a88717dda465b6cf958a1bc15</x:v>
      </x:c>
    </x:row>
    <x:row r="139" ht="54" customHeight="1">
      <x:c r="A139" s="15" t="str">
        <x:v>VerificationLab</x:v>
      </x:c>
      <x:c r="B139" s="15" t="str">
        <x:v>simplified/exp6_seq_detector_moore/tb/tb_seq_detector_moore.sv</x:v>
      </x:c>
      <x:c r="C139" s="15" t="str">
        <x:v>Existing testbench</x:v>
      </x:c>
      <x:c r="D139" s="15" t="str">
        <x:v>tb_seq_detector_moore</x:v>
      </x:c>
      <x:c r="E139" s="15" t="str"/>
      <x:c r="F139" s="15" t="str"/>
      <x:c r="G139" s="15" t="str">
        <x:v>Supporting evidence only; map assertions to case IDs before claiming coverage.</x:v>
      </x:c>
      <x:c r="H139" s="26" t="str">
        <x:v>https://github.com/kapiltrip/VerificationLab/blob/0c649a2cbbeef29a88717dda465b6cf958a1bc15/simplified/exp6_seq_detector_moore/tb/tb_seq_detector_moore.sv</x:v>
      </x:c>
      <x:c r="I139" s="15" t="str">
        <x:v>0c649a2cbbeef29a88717dda465b6cf958a1bc15</x:v>
      </x:c>
    </x:row>
    <x:row r="140" ht="54" customHeight="1">
      <x:c r="A140" s="4" t="str">
        <x:v>VerificationLab</x:v>
      </x:c>
      <x:c r="B140" s="4" t="str">
        <x:v>simplified/exp7_lfsr/code/lfsr_fibonacci.sv</x:v>
      </x:c>
      <x:c r="C140" s="4" t="str">
        <x:v>RTL</x:v>
      </x:c>
      <x:c r="D140" s="4" t="str">
        <x:v>fib_lfsr4, fib_lfsr8</x:v>
      </x:c>
      <x:c r="E140" s="4" t="str">
        <x:v>clk, rst</x:v>
      </x:c>
      <x:c r="F140" s="4" t="str">
        <x:v>q</x:v>
      </x:c>
      <x:c r="G140" s="4" t="str">
        <x:v>LAB-034</x:v>
      </x:c>
      <x:c r="H140" s="25" t="str">
        <x:v>https://github.com/kapiltrip/VerificationLab/blob/0c649a2cbbeef29a88717dda465b6cf958a1bc15/simplified/exp7_lfsr/code/lfsr_fibonacci.sv</x:v>
      </x:c>
      <x:c r="I140" s="4" t="str">
        <x:v>0c649a2cbbeef29a88717dda465b6cf958a1bc15</x:v>
      </x:c>
    </x:row>
    <x:row r="141" ht="54" customHeight="1">
      <x:c r="A141" s="15" t="str">
        <x:v>VerificationLab</x:v>
      </x:c>
      <x:c r="B141" s="15" t="str">
        <x:v>simplified/exp7_lfsr/code/lfsr_galois.sv</x:v>
      </x:c>
      <x:c r="C141" s="15" t="str">
        <x:v>RTL</x:v>
      </x:c>
      <x:c r="D141" s="15" t="str">
        <x:v>gal_lfsr4, gal_lfsr8</x:v>
      </x:c>
      <x:c r="E141" s="15" t="str">
        <x:v>clk, rst</x:v>
      </x:c>
      <x:c r="F141" s="15" t="str">
        <x:v>q</x:v>
      </x:c>
      <x:c r="G141" s="15" t="str">
        <x:v>LAB-035</x:v>
      </x:c>
      <x:c r="H141" s="26" t="str">
        <x:v>https://github.com/kapiltrip/VerificationLab/blob/0c649a2cbbeef29a88717dda465b6cf958a1bc15/simplified/exp7_lfsr/code/lfsr_galois.sv</x:v>
      </x:c>
      <x:c r="I141" s="15" t="str">
        <x:v>0c649a2cbbeef29a88717dda465b6cf958a1bc15</x:v>
      </x:c>
    </x:row>
    <x:row r="142" ht="54" customHeight="1">
      <x:c r="A142" s="4" t="str">
        <x:v>VerificationLab</x:v>
      </x:c>
      <x:c r="B142" s="4" t="str">
        <x:v>simplified/exp7_lfsr/tb/tb_lfsr_fibonacci.sv</x:v>
      </x:c>
      <x:c r="C142" s="4" t="str">
        <x:v>Existing testbench</x:v>
      </x:c>
      <x:c r="D142" s="4" t="str">
        <x:v>tb_lfsr_fibonacci</x:v>
      </x:c>
      <x:c r="E142" s="4" t="str"/>
      <x:c r="F142" s="4" t="str"/>
      <x:c r="G142" s="4" t="str">
        <x:v>Supporting evidence only; map assertions to case IDs before claiming coverage.</x:v>
      </x:c>
      <x:c r="H142" s="25" t="str">
        <x:v>https://github.com/kapiltrip/VerificationLab/blob/0c649a2cbbeef29a88717dda465b6cf958a1bc15/simplified/exp7_lfsr/tb/tb_lfsr_fibonacci.sv</x:v>
      </x:c>
      <x:c r="I142" s="4" t="str">
        <x:v>0c649a2cbbeef29a88717dda465b6cf958a1bc15</x:v>
      </x:c>
    </x:row>
    <x:row r="143" ht="54" customHeight="1">
      <x:c r="A143" s="15" t="str">
        <x:v>VerificationLab</x:v>
      </x:c>
      <x:c r="B143" s="15" t="str">
        <x:v>simplified/exp7_lfsr/tb/tb_lfsr_galois.sv</x:v>
      </x:c>
      <x:c r="C143" s="15" t="str">
        <x:v>Existing testbench</x:v>
      </x:c>
      <x:c r="D143" s="15" t="str">
        <x:v>tb_lfsr_galois</x:v>
      </x:c>
      <x:c r="E143" s="15" t="str"/>
      <x:c r="F143" s="15" t="str"/>
      <x:c r="G143" s="15" t="str">
        <x:v>Supporting evidence only; map assertions to case IDs before claiming coverage.</x:v>
      </x:c>
      <x:c r="H143" s="26" t="str">
        <x:v>https://github.com/kapiltrip/VerificationLab/blob/0c649a2cbbeef29a88717dda465b6cf958a1bc15/simplified/exp7_lfsr/tb/tb_lfsr_galois.sv</x:v>
      </x:c>
      <x:c r="I143" s="15" t="str">
        <x:v>0c649a2cbbeef29a88717dda465b6cf958a1bc15</x:v>
      </x:c>
    </x:row>
    <x:row r="144" ht="54" customHeight="1">
      <x:c r="A144" s="4" t="str">
        <x:v>VerificationLab</x:v>
      </x:c>
      <x:c r="B144" s="4" t="str">
        <x:v>simplified/exp8_march_mem16x8/code/mem16x8.sv</x:v>
      </x:c>
      <x:c r="C144" s="4" t="str">
        <x:v>RTL</x:v>
      </x:c>
      <x:c r="D144" s="4" t="str">
        <x:v>mem16x8</x:v>
      </x:c>
      <x:c r="E144" s="4" t="str">
        <x:v>clk, we, addr, din</x:v>
      </x:c>
      <x:c r="F144" s="4" t="str">
        <x:v>dout</x:v>
      </x:c>
      <x:c r="G144" s="4" t="str">
        <x:v>LAB-001</x:v>
      </x:c>
      <x:c r="H144" s="25" t="str">
        <x:v>https://github.com/kapiltrip/VerificationLab/blob/0c649a2cbbeef29a88717dda465b6cf958a1bc15/simplified/exp8_march_mem16x8/code/mem16x8.sv</x:v>
      </x:c>
      <x:c r="I144" s="4" t="str">
        <x:v>0c649a2cbbeef29a88717dda465b6cf958a1bc15</x:v>
      </x:c>
    </x:row>
    <x:row r="145" ht="54" customHeight="1">
      <x:c r="A145" s="15" t="str">
        <x:v>VerificationLab</x:v>
      </x:c>
      <x:c r="B145" s="15" t="str">
        <x:v>simplified/exp8_march_mem16x8/tb/tb_mem16x8_march.sv</x:v>
      </x:c>
      <x:c r="C145" s="15" t="str">
        <x:v>Existing testbench</x:v>
      </x:c>
      <x:c r="D145" s="15" t="str">
        <x:v>tb_mem16x8_march</x:v>
      </x:c>
      <x:c r="E145" s="15" t="str">
        <x:v>a, input</x:v>
      </x:c>
      <x:c r="F145" s="15" t="str"/>
      <x:c r="G145" s="15" t="str">
        <x:v>Supporting evidence only; map assertions to case IDs before claiming coverage.</x:v>
      </x:c>
      <x:c r="H145" s="26" t="str">
        <x:v>https://github.com/kapiltrip/VerificationLab/blob/0c649a2cbbeef29a88717dda465b6cf958a1bc15/simplified/exp8_march_mem16x8/tb/tb_mem16x8_march.sv</x:v>
      </x:c>
      <x:c r="I145" s="15" t="str">
        <x:v>0c649a2cbbeef29a88717dda465b6cf958a1bc15</x:v>
      </x:c>
    </x:row>
    <x:row r="146" ht="54" customHeight="1">
      <x:c r="A146" s="4" t="str">
        <x:v>VerificationLab</x:v>
      </x:c>
      <x:c r="B146" s="4" t="str">
        <x:v>simplified/exp9_pla_p2_b7_growth_fault/code/pla_p2_b7.sv</x:v>
      </x:c>
      <x:c r="C146" s="4" t="str">
        <x:v>RTL</x:v>
      </x:c>
      <x:c r="D146" s="4" t="str">
        <x:v>pla_good, pla_faulty</x:v>
      </x:c>
      <x:c r="E146" s="4" t="str">
        <x:v>x1, x2, x3, x4</x:v>
      </x:c>
      <x:c r="F146" s="4" t="str">
        <x:v>f1</x:v>
      </x:c>
      <x:c r="G146" s="4" t="str">
        <x:v>LAB-002</x:v>
      </x:c>
      <x:c r="H146" s="25" t="str">
        <x:v>https://github.com/kapiltrip/VerificationLab/blob/0c649a2cbbeef29a88717dda465b6cf958a1bc15/simplified/exp9_pla_p2_b7_growth_fault/code/pla_p2_b7.sv</x:v>
      </x:c>
      <x:c r="I146" s="4" t="str">
        <x:v>0c649a2cbbeef29a88717dda465b6cf958a1bc15</x:v>
      </x:c>
    </x:row>
    <x:row r="147" ht="54" customHeight="1">
      <x:c r="A147" s="15" t="str">
        <x:v>VerificationLab</x:v>
      </x:c>
      <x:c r="B147" s="15" t="str">
        <x:v>simplified/exp9_pla_p2_b7_growth_fault/tb/tb_pla_p2_b7.sv</x:v>
      </x:c>
      <x:c r="C147" s="15" t="str">
        <x:v>Existing testbench</x:v>
      </x:c>
      <x:c r="D147" s="15" t="str">
        <x:v>tb_pla_p2_b7</x:v>
      </x:c>
      <x:c r="E147" s="15" t="str"/>
      <x:c r="F147" s="15" t="str"/>
      <x:c r="G147" s="15" t="str">
        <x:v>Supporting evidence only; map assertions to case IDs before claiming coverage.</x:v>
      </x:c>
      <x:c r="H147" s="26" t="str">
        <x:v>https://github.com/kapiltrip/VerificationLab/blob/0c649a2cbbeef29a88717dda465b6cf958a1bc15/simplified/exp9_pla_p2_b7_growth_fault/tb/tb_pla_p2_b7.sv</x:v>
      </x:c>
      <x:c r="I147" s="15" t="str">
        <x:v>0c649a2cbbeef29a88717dda465b6cf958a1bc15</x:v>
      </x:c>
    </x:row>
    <x:row r="148" ht="54" customHeight="1">
      <x:c r="A148" s="4" t="str">
        <x:v>PlacementPrep</x:v>
      </x:c>
      <x:c r="B148" s="4" t="str">
        <x:v>sample.v</x:v>
      </x:c>
      <x:c r="C148" s="4" t="str">
        <x:v>Verification example</x:v>
      </x:c>
      <x:c r="D148" s="4" t="str">
        <x:v>(incomplete/no module)</x:v>
      </x:c>
      <x:c r="E148" s="4" t="str"/>
      <x:c r="F148" s="4" t="str"/>
      <x:c r="G148" s="4" t="str">
        <x:v>Supporting evidence only; map assertions to case IDs before claiming coverage.</x:v>
      </x:c>
      <x:c r="H148" s="25" t="str">
        <x:v>https://github.com/kapiltrip/PlacementPrep/blob/4aeb1a1555f5051ec06a4cc3fc5ae866fcc13194/sample.v</x:v>
      </x:c>
      <x:c r="I148" s="4" t="str">
        <x:v>4aeb1a1555f5051ec06a4cc3fc5ae866fcc13194</x:v>
      </x:c>
    </x:row>
    <x:row r="149" ht="54" customHeight="1">
      <x:c r="A149" s="15" t="str">
        <x:v>PlacementPrep</x:v>
      </x:c>
      <x:c r="B149" s="15" t="str">
        <x:v>src/additions/gate/and2_g.v</x:v>
      </x:c>
      <x:c r="C149" s="15" t="str">
        <x:v>RTL</x:v>
      </x:c>
      <x:c r="D149" s="15" t="str">
        <x:v>and2_g</x:v>
      </x:c>
      <x:c r="E149" s="15" t="str">
        <x:v>a, b</x:v>
      </x:c>
      <x:c r="F149" s="15" t="str">
        <x:v>y</x:v>
      </x:c>
      <x:c r="G149" s="15" t="str">
        <x:v>PP-003, PP-048</x:v>
      </x:c>
      <x:c r="H149" s="26" t="str">
        <x:v>https://github.com/kapiltrip/PlacementPrep/blob/4aeb1a1555f5051ec06a4cc3fc5ae866fcc13194/src/additions/gate/and2_g.v</x:v>
      </x:c>
      <x:c r="I149" s="15" t="str">
        <x:v>4aeb1a1555f5051ec06a4cc3fc5ae866fcc13194</x:v>
      </x:c>
    </x:row>
    <x:row r="150" ht="54" customHeight="1">
      <x:c r="A150" s="4" t="str">
        <x:v>PlacementPrep</x:v>
      </x:c>
      <x:c r="B150" s="4" t="str">
        <x:v>src/additions/gate/mux2_g.v</x:v>
      </x:c>
      <x:c r="C150" s="4" t="str">
        <x:v>RTL</x:v>
      </x:c>
      <x:c r="D150" s="4" t="str">
        <x:v>mux2_g</x:v>
      </x:c>
      <x:c r="E150" s="4" t="str">
        <x:v>a, b, sel</x:v>
      </x:c>
      <x:c r="F150" s="4" t="str">
        <x:v>y</x:v>
      </x:c>
      <x:c r="G150" s="4" t="str">
        <x:v>PP-004</x:v>
      </x:c>
      <x:c r="H150" s="25" t="str">
        <x:v>https://github.com/kapiltrip/PlacementPrep/blob/4aeb1a1555f5051ec06a4cc3fc5ae866fcc13194/src/additions/gate/mux2_g.v</x:v>
      </x:c>
      <x:c r="I150" s="4" t="str">
        <x:v>4aeb1a1555f5051ec06a4cc3fc5ae866fcc13194</x:v>
      </x:c>
    </x:row>
    <x:row r="151" ht="54" customHeight="1">
      <x:c r="A151" s="15" t="str">
        <x:v>PlacementPrep</x:v>
      </x:c>
      <x:c r="B151" s="15" t="str">
        <x:v>src/additions/gate/not1_g.v</x:v>
      </x:c>
      <x:c r="C151" s="15" t="str">
        <x:v>RTL</x:v>
      </x:c>
      <x:c r="D151" s="15" t="str">
        <x:v>not1_g</x:v>
      </x:c>
      <x:c r="E151" s="15" t="str">
        <x:v>a</x:v>
      </x:c>
      <x:c r="F151" s="15" t="str">
        <x:v>y</x:v>
      </x:c>
      <x:c r="G151" s="15" t="str">
        <x:v>PP-005</x:v>
      </x:c>
      <x:c r="H151" s="26" t="str">
        <x:v>https://github.com/kapiltrip/PlacementPrep/blob/4aeb1a1555f5051ec06a4cc3fc5ae866fcc13194/src/additions/gate/not1_g.v</x:v>
      </x:c>
      <x:c r="I151" s="15" t="str">
        <x:v>4aeb1a1555f5051ec06a4cc3fc5ae866fcc13194</x:v>
      </x:c>
    </x:row>
    <x:row r="152" ht="54" customHeight="1">
      <x:c r="A152" s="4" t="str">
        <x:v>PlacementPrep</x:v>
      </x:c>
      <x:c r="B152" s="4" t="str">
        <x:v>src/additions/gate/or2_g.v</x:v>
      </x:c>
      <x:c r="C152" s="4" t="str">
        <x:v>RTL</x:v>
      </x:c>
      <x:c r="D152" s="4" t="str">
        <x:v>or2_g</x:v>
      </x:c>
      <x:c r="E152" s="4" t="str">
        <x:v>a, b</x:v>
      </x:c>
      <x:c r="F152" s="4" t="str">
        <x:v>y</x:v>
      </x:c>
      <x:c r="G152" s="4" t="str">
        <x:v>PP-006</x:v>
      </x:c>
      <x:c r="H152" s="25" t="str">
        <x:v>https://github.com/kapiltrip/PlacementPrep/blob/4aeb1a1555f5051ec06a4cc3fc5ae866fcc13194/src/additions/gate/or2_g.v</x:v>
      </x:c>
      <x:c r="I152" s="4" t="str">
        <x:v>4aeb1a1555f5051ec06a4cc3fc5ae866fcc13194</x:v>
      </x:c>
    </x:row>
    <x:row r="153" ht="54" customHeight="1">
      <x:c r="A153" s="15" t="str">
        <x:v>PlacementPrep</x:v>
      </x:c>
      <x:c r="B153" s="15" t="str">
        <x:v>src/additions/gate/tri_buf_g.v</x:v>
      </x:c>
      <x:c r="C153" s="15" t="str">
        <x:v>RTL</x:v>
      </x:c>
      <x:c r="D153" s="15" t="str">
        <x:v>tri_buf_g</x:v>
      </x:c>
      <x:c r="E153" s="15" t="str">
        <x:v>en, a</x:v>
      </x:c>
      <x:c r="F153" s="15" t="str">
        <x:v>y</x:v>
      </x:c>
      <x:c r="G153" s="15" t="str">
        <x:v>PP-007</x:v>
      </x:c>
      <x:c r="H153" s="26" t="str">
        <x:v>https://github.com/kapiltrip/PlacementPrep/blob/4aeb1a1555f5051ec06a4cc3fc5ae866fcc13194/src/additions/gate/tri_buf_g.v</x:v>
      </x:c>
      <x:c r="I153" s="15" t="str">
        <x:v>4aeb1a1555f5051ec06a4cc3fc5ae866fcc13194</x:v>
      </x:c>
    </x:row>
    <x:row r="154" ht="54" customHeight="1">
      <x:c r="A154" s="4" t="str">
        <x:v>PlacementPrep</x:v>
      </x:c>
      <x:c r="B154" s="4" t="str">
        <x:v>src/additions/gate/xnor2_from_nand_g.v</x:v>
      </x:c>
      <x:c r="C154" s="4" t="str">
        <x:v>RTL</x:v>
      </x:c>
      <x:c r="D154" s="4" t="str">
        <x:v>xnor2_from_nand_g</x:v>
      </x:c>
      <x:c r="E154" s="4" t="str">
        <x:v>a, b</x:v>
      </x:c>
      <x:c r="F154" s="4" t="str">
        <x:v>y</x:v>
      </x:c>
      <x:c r="G154" s="4" t="str">
        <x:v>PP-008</x:v>
      </x:c>
      <x:c r="H154" s="25" t="str">
        <x:v>https://github.com/kapiltrip/PlacementPrep/blob/4aeb1a1555f5051ec06a4cc3fc5ae866fcc13194/src/additions/gate/xnor2_from_nand_g.v</x:v>
      </x:c>
      <x:c r="I154" s="4" t="str">
        <x:v>4aeb1a1555f5051ec06a4cc3fc5ae866fcc13194</x:v>
      </x:c>
    </x:row>
    <x:row r="155" ht="54" customHeight="1">
      <x:c r="A155" s="15" t="str">
        <x:v>PlacementPrep</x:v>
      </x:c>
      <x:c r="B155" s="15" t="str">
        <x:v>src/additions/gate/xnor2_from_nor_g.v</x:v>
      </x:c>
      <x:c r="C155" s="15" t="str">
        <x:v>RTL</x:v>
      </x:c>
      <x:c r="D155" s="15" t="str">
        <x:v>xnor2_from_nor_g</x:v>
      </x:c>
      <x:c r="E155" s="15" t="str">
        <x:v>a, b</x:v>
      </x:c>
      <x:c r="F155" s="15" t="str">
        <x:v>y</x:v>
      </x:c>
      <x:c r="G155" s="15" t="str">
        <x:v>PP-009</x:v>
      </x:c>
      <x:c r="H155" s="26" t="str">
        <x:v>https://github.com/kapiltrip/PlacementPrep/blob/4aeb1a1555f5051ec06a4cc3fc5ae866fcc13194/src/additions/gate/xnor2_from_nor_g.v</x:v>
      </x:c>
      <x:c r="I155" s="15" t="str">
        <x:v>4aeb1a1555f5051ec06a4cc3fc5ae866fcc13194</x:v>
      </x:c>
    </x:row>
    <x:row r="156" ht="54" customHeight="1">
      <x:c r="A156" s="4" t="str">
        <x:v>PlacementPrep</x:v>
      </x:c>
      <x:c r="B156" s="4" t="str">
        <x:v>src/additions/gate/xnor2_g.v</x:v>
      </x:c>
      <x:c r="C156" s="4" t="str">
        <x:v>RTL</x:v>
      </x:c>
      <x:c r="D156" s="4" t="str">
        <x:v>xnor2_g</x:v>
      </x:c>
      <x:c r="E156" s="4" t="str">
        <x:v>a, b</x:v>
      </x:c>
      <x:c r="F156" s="4" t="str">
        <x:v>y</x:v>
      </x:c>
      <x:c r="G156" s="4" t="str">
        <x:v>PP-010</x:v>
      </x:c>
      <x:c r="H156" s="25" t="str">
        <x:v>https://github.com/kapiltrip/PlacementPrep/blob/4aeb1a1555f5051ec06a4cc3fc5ae866fcc13194/src/additions/gate/xnor2_g.v</x:v>
      </x:c>
      <x:c r="I156" s="4" t="str">
        <x:v>4aeb1a1555f5051ec06a4cc3fc5ae866fcc13194</x:v>
      </x:c>
    </x:row>
    <x:row r="157" ht="54" customHeight="1">
      <x:c r="A157" s="15" t="str">
        <x:v>PlacementPrep</x:v>
      </x:c>
      <x:c r="B157" s="15" t="str">
        <x:v>src/additions/gate/xor2_from_nand_g.v</x:v>
      </x:c>
      <x:c r="C157" s="15" t="str">
        <x:v>RTL</x:v>
      </x:c>
      <x:c r="D157" s="15" t="str">
        <x:v>xor2_from_nand_g</x:v>
      </x:c>
      <x:c r="E157" s="15" t="str">
        <x:v>a, b</x:v>
      </x:c>
      <x:c r="F157" s="15" t="str">
        <x:v>y</x:v>
      </x:c>
      <x:c r="G157" s="15" t="str">
        <x:v>PP-011</x:v>
      </x:c>
      <x:c r="H157" s="26" t="str">
        <x:v>https://github.com/kapiltrip/PlacementPrep/blob/4aeb1a1555f5051ec06a4cc3fc5ae866fcc13194/src/additions/gate/xor2_from_nand_g.v</x:v>
      </x:c>
      <x:c r="I157" s="15" t="str">
        <x:v>4aeb1a1555f5051ec06a4cc3fc5ae866fcc13194</x:v>
      </x:c>
    </x:row>
    <x:row r="158" ht="54" customHeight="1">
      <x:c r="A158" s="4" t="str">
        <x:v>PlacementPrep</x:v>
      </x:c>
      <x:c r="B158" s="4" t="str">
        <x:v>src/additions/gate/xor2_from_nor_g.v</x:v>
      </x:c>
      <x:c r="C158" s="4" t="str">
        <x:v>RTL</x:v>
      </x:c>
      <x:c r="D158" s="4" t="str">
        <x:v>xor2_from_nor_g</x:v>
      </x:c>
      <x:c r="E158" s="4" t="str">
        <x:v>a, b</x:v>
      </x:c>
      <x:c r="F158" s="4" t="str">
        <x:v>y</x:v>
      </x:c>
      <x:c r="G158" s="4" t="str">
        <x:v>PP-012</x:v>
      </x:c>
      <x:c r="H158" s="25" t="str">
        <x:v>https://github.com/kapiltrip/PlacementPrep/blob/4aeb1a1555f5051ec06a4cc3fc5ae866fcc13194/src/additions/gate/xor2_from_nor_g.v</x:v>
      </x:c>
      <x:c r="I158" s="4" t="str">
        <x:v>4aeb1a1555f5051ec06a4cc3fc5ae866fcc13194</x:v>
      </x:c>
    </x:row>
    <x:row r="159" ht="54" customHeight="1">
      <x:c r="A159" s="15" t="str">
        <x:v>PlacementPrep</x:v>
      </x:c>
      <x:c r="B159" s="15" t="str">
        <x:v>src/additions/gate/xor2_g.v</x:v>
      </x:c>
      <x:c r="C159" s="15" t="str">
        <x:v>RTL</x:v>
      </x:c>
      <x:c r="D159" s="15" t="str">
        <x:v>xor2_g</x:v>
      </x:c>
      <x:c r="E159" s="15" t="str">
        <x:v>a, b</x:v>
      </x:c>
      <x:c r="F159" s="15" t="str">
        <x:v>y</x:v>
      </x:c>
      <x:c r="G159" s="15" t="str">
        <x:v>PP-013</x:v>
      </x:c>
      <x:c r="H159" s="26" t="str">
        <x:v>https://github.com/kapiltrip/PlacementPrep/blob/4aeb1a1555f5051ec06a4cc3fc5ae866fcc13194/src/additions/gate/xor2_g.v</x:v>
      </x:c>
      <x:c r="I159" s="15" t="str">
        <x:v>4aeb1a1555f5051ec06a4cc3fc5ae866fcc13194</x:v>
      </x:c>
    </x:row>
    <x:row r="160" ht="54" customHeight="1">
      <x:c r="A160" s="4" t="str">
        <x:v>PlacementPrep</x:v>
      </x:c>
      <x:c r="B160" s="4" t="str">
        <x:v>src/behavioral/and2_b.v</x:v>
      </x:c>
      <x:c r="C160" s="4" t="str">
        <x:v>RTL</x:v>
      </x:c>
      <x:c r="D160" s="4" t="str">
        <x:v>and2_b</x:v>
      </x:c>
      <x:c r="E160" s="4" t="str">
        <x:v>a, b</x:v>
      </x:c>
      <x:c r="F160" s="4" t="str">
        <x:v>y</x:v>
      </x:c>
      <x:c r="G160" s="4" t="str">
        <x:v>PP-014</x:v>
      </x:c>
      <x:c r="H160" s="25" t="str">
        <x:v>https://github.com/kapiltrip/PlacementPrep/blob/4aeb1a1555f5051ec06a4cc3fc5ae866fcc13194/src/behavioral/and2_b.v</x:v>
      </x:c>
      <x:c r="I160" s="4" t="str">
        <x:v>4aeb1a1555f5051ec06a4cc3fc5ae866fcc13194</x:v>
      </x:c>
    </x:row>
    <x:row r="161" ht="54" customHeight="1">
      <x:c r="A161" s="15" t="str">
        <x:v>PlacementPrep</x:v>
      </x:c>
      <x:c r="B161" s="15" t="str">
        <x:v>src/behavioral/mux2_b.v</x:v>
      </x:c>
      <x:c r="C161" s="15" t="str">
        <x:v>RTL</x:v>
      </x:c>
      <x:c r="D161" s="15" t="str">
        <x:v>mux2_b</x:v>
      </x:c>
      <x:c r="E161" s="15" t="str">
        <x:v>a, b, sel</x:v>
      </x:c>
      <x:c r="F161" s="15" t="str">
        <x:v>y</x:v>
      </x:c>
      <x:c r="G161" s="15" t="str">
        <x:v>PP-015</x:v>
      </x:c>
      <x:c r="H161" s="26" t="str">
        <x:v>https://github.com/kapiltrip/PlacementPrep/blob/4aeb1a1555f5051ec06a4cc3fc5ae866fcc13194/src/behavioral/mux2_b.v</x:v>
      </x:c>
      <x:c r="I161" s="15" t="str">
        <x:v>4aeb1a1555f5051ec06a4cc3fc5ae866fcc13194</x:v>
      </x:c>
    </x:row>
    <x:row r="162" ht="54" customHeight="1">
      <x:c r="A162" s="4" t="str">
        <x:v>PlacementPrep</x:v>
      </x:c>
      <x:c r="B162" s="4" t="str">
        <x:v>src/behavioral/not1_b.v</x:v>
      </x:c>
      <x:c r="C162" s="4" t="str">
        <x:v>RTL</x:v>
      </x:c>
      <x:c r="D162" s="4" t="str">
        <x:v>not1_b</x:v>
      </x:c>
      <x:c r="E162" s="4" t="str">
        <x:v>a</x:v>
      </x:c>
      <x:c r="F162" s="4" t="str">
        <x:v>y</x:v>
      </x:c>
      <x:c r="G162" s="4" t="str">
        <x:v>PP-016</x:v>
      </x:c>
      <x:c r="H162" s="25" t="str">
        <x:v>https://github.com/kapiltrip/PlacementPrep/blob/4aeb1a1555f5051ec06a4cc3fc5ae866fcc13194/src/behavioral/not1_b.v</x:v>
      </x:c>
      <x:c r="I162" s="4" t="str">
        <x:v>4aeb1a1555f5051ec06a4cc3fc5ae866fcc13194</x:v>
      </x:c>
    </x:row>
    <x:row r="163" ht="54" customHeight="1">
      <x:c r="A163" s="15" t="str">
        <x:v>PlacementPrep</x:v>
      </x:c>
      <x:c r="B163" s="15" t="str">
        <x:v>src/behavioral/or2_b.v</x:v>
      </x:c>
      <x:c r="C163" s="15" t="str">
        <x:v>RTL</x:v>
      </x:c>
      <x:c r="D163" s="15" t="str">
        <x:v>or2_b</x:v>
      </x:c>
      <x:c r="E163" s="15" t="str">
        <x:v>a, b</x:v>
      </x:c>
      <x:c r="F163" s="15" t="str">
        <x:v>y</x:v>
      </x:c>
      <x:c r="G163" s="15" t="str">
        <x:v>PP-017</x:v>
      </x:c>
      <x:c r="H163" s="26" t="str">
        <x:v>https://github.com/kapiltrip/PlacementPrep/blob/4aeb1a1555f5051ec06a4cc3fc5ae866fcc13194/src/behavioral/or2_b.v</x:v>
      </x:c>
      <x:c r="I163" s="15" t="str">
        <x:v>4aeb1a1555f5051ec06a4cc3fc5ae866fcc13194</x:v>
      </x:c>
    </x:row>
    <x:row r="164" ht="54" customHeight="1">
      <x:c r="A164" s="4" t="str">
        <x:v>PlacementPrep</x:v>
      </x:c>
      <x:c r="B164" s="4" t="str">
        <x:v>src/behavioral/tri_buf_b.v</x:v>
      </x:c>
      <x:c r="C164" s="4" t="str">
        <x:v>RTL</x:v>
      </x:c>
      <x:c r="D164" s="4" t="str">
        <x:v>tri_buf_b</x:v>
      </x:c>
      <x:c r="E164" s="4" t="str">
        <x:v>en, a</x:v>
      </x:c>
      <x:c r="F164" s="4" t="str">
        <x:v>y</x:v>
      </x:c>
      <x:c r="G164" s="4" t="str">
        <x:v>PP-018</x:v>
      </x:c>
      <x:c r="H164" s="25" t="str">
        <x:v>https://github.com/kapiltrip/PlacementPrep/blob/4aeb1a1555f5051ec06a4cc3fc5ae866fcc13194/src/behavioral/tri_buf_b.v</x:v>
      </x:c>
      <x:c r="I164" s="4" t="str">
        <x:v>4aeb1a1555f5051ec06a4cc3fc5ae866fcc13194</x:v>
      </x:c>
    </x:row>
    <x:row r="165" ht="54" customHeight="1">
      <x:c r="A165" s="15" t="str">
        <x:v>PlacementPrep</x:v>
      </x:c>
      <x:c r="B165" s="15" t="str">
        <x:v>src/behavioral/xnor2_b.v</x:v>
      </x:c>
      <x:c r="C165" s="15" t="str">
        <x:v>RTL</x:v>
      </x:c>
      <x:c r="D165" s="15" t="str">
        <x:v>xnor2_b</x:v>
      </x:c>
      <x:c r="E165" s="15" t="str">
        <x:v>a, b</x:v>
      </x:c>
      <x:c r="F165" s="15" t="str">
        <x:v>y</x:v>
      </x:c>
      <x:c r="G165" s="15" t="str">
        <x:v>PP-019</x:v>
      </x:c>
      <x:c r="H165" s="26" t="str">
        <x:v>https://github.com/kapiltrip/PlacementPrep/blob/4aeb1a1555f5051ec06a4cc3fc5ae866fcc13194/src/behavioral/xnor2_b.v</x:v>
      </x:c>
      <x:c r="I165" s="15" t="str">
        <x:v>4aeb1a1555f5051ec06a4cc3fc5ae866fcc13194</x:v>
      </x:c>
    </x:row>
    <x:row r="166" ht="54" customHeight="1">
      <x:c r="A166" s="4" t="str">
        <x:v>PlacementPrep</x:v>
      </x:c>
      <x:c r="B166" s="4" t="str">
        <x:v>src/behavioral/xor2_b.v</x:v>
      </x:c>
      <x:c r="C166" s="4" t="str">
        <x:v>RTL</x:v>
      </x:c>
      <x:c r="D166" s="4" t="str">
        <x:v>xor2_b</x:v>
      </x:c>
      <x:c r="E166" s="4" t="str">
        <x:v>a, b</x:v>
      </x:c>
      <x:c r="F166" s="4" t="str">
        <x:v>y</x:v>
      </x:c>
      <x:c r="G166" s="4" t="str">
        <x:v>PP-020</x:v>
      </x:c>
      <x:c r="H166" s="25" t="str">
        <x:v>https://github.com/kapiltrip/PlacementPrep/blob/4aeb1a1555f5051ec06a4cc3fc5ae866fcc13194/src/behavioral/xor2_b.v</x:v>
      </x:c>
      <x:c r="I166" s="4" t="str">
        <x:v>4aeb1a1555f5051ec06a4cc3fc5ae866fcc13194</x:v>
      </x:c>
    </x:row>
    <x:row r="167" ht="54" customHeight="1">
      <x:c r="A167" s="15" t="str">
        <x:v>PlacementPrep</x:v>
      </x:c>
      <x:c r="B167" s="15" t="str">
        <x:v>src/combinational/arithmetic/carry_lookahead_adder4.v</x:v>
      </x:c>
      <x:c r="C167" s="15" t="str">
        <x:v>RTL</x:v>
      </x:c>
      <x:c r="D167" s="15" t="str">
        <x:v>carry_lookahead_adder4</x:v>
      </x:c>
      <x:c r="E167" s="15" t="str">
        <x:v>a, b, cin</x:v>
      </x:c>
      <x:c r="F167" s="15" t="str">
        <x:v>sum, cout, carry</x:v>
      </x:c>
      <x:c r="G167" s="15" t="str">
        <x:v>PP-021</x:v>
      </x:c>
      <x:c r="H167" s="26" t="str">
        <x:v>https://github.com/kapiltrip/PlacementPrep/blob/4aeb1a1555f5051ec06a4cc3fc5ae866fcc13194/src/combinational/arithmetic/carry_lookahead_adder4.v</x:v>
      </x:c>
      <x:c r="I167" s="15" t="str">
        <x:v>4aeb1a1555f5051ec06a4cc3fc5ae866fcc13194</x:v>
      </x:c>
    </x:row>
    <x:row r="168" ht="54" customHeight="1">
      <x:c r="A168" s="4" t="str">
        <x:v>PlacementPrep</x:v>
      </x:c>
      <x:c r="B168" s="4" t="str">
        <x:v>src/combinational/arithmetic/full_adder.v</x:v>
      </x:c>
      <x:c r="C168" s="4" t="str">
        <x:v>RTL</x:v>
      </x:c>
      <x:c r="D168" s="4" t="str">
        <x:v>full_adder</x:v>
      </x:c>
      <x:c r="E168" s="4" t="str">
        <x:v>a, b, cin</x:v>
      </x:c>
      <x:c r="F168" s="4" t="str">
        <x:v>sum, cout, propagate, generate</x:v>
      </x:c>
      <x:c r="G168" s="4" t="str">
        <x:v>PP-022</x:v>
      </x:c>
      <x:c r="H168" s="25" t="str">
        <x:v>https://github.com/kapiltrip/PlacementPrep/blob/4aeb1a1555f5051ec06a4cc3fc5ae866fcc13194/src/combinational/arithmetic/full_adder.v</x:v>
      </x:c>
      <x:c r="I168" s="4" t="str">
        <x:v>4aeb1a1555f5051ec06a4cc3fc5ae866fcc13194</x:v>
      </x:c>
    </x:row>
    <x:row r="169" ht="54" customHeight="1">
      <x:c r="A169" s="15" t="str">
        <x:v>PlacementPrep</x:v>
      </x:c>
      <x:c r="B169" s="15" t="str">
        <x:v>src/combinational/arithmetic/full_adder_from_half.v</x:v>
      </x:c>
      <x:c r="C169" s="15" t="str">
        <x:v>RTL</x:v>
      </x:c>
      <x:c r="D169" s="15" t="str">
        <x:v>full_adder_from_half</x:v>
      </x:c>
      <x:c r="E169" s="15" t="str">
        <x:v>a, b, cin</x:v>
      </x:c>
      <x:c r="F169" s="15" t="str">
        <x:v>sum, cout</x:v>
      </x:c>
      <x:c r="G169" s="15" t="str">
        <x:v>PP-023</x:v>
      </x:c>
      <x:c r="H169" s="26" t="str">
        <x:v>https://github.com/kapiltrip/PlacementPrep/blob/4aeb1a1555f5051ec06a4cc3fc5ae866fcc13194/src/combinational/arithmetic/full_adder_from_half.v</x:v>
      </x:c>
      <x:c r="I169" s="15" t="str">
        <x:v>4aeb1a1555f5051ec06a4cc3fc5ae866fcc13194</x:v>
      </x:c>
    </x:row>
    <x:row r="170" ht="54" customHeight="1">
      <x:c r="A170" s="4" t="str">
        <x:v>PlacementPrep</x:v>
      </x:c>
      <x:c r="B170" s="4" t="str">
        <x:v>src/combinational/arithmetic/full_subtractor.v</x:v>
      </x:c>
      <x:c r="C170" s="4" t="str">
        <x:v>RTL</x:v>
      </x:c>
      <x:c r="D170" s="4" t="str">
        <x:v>full_subtractor</x:v>
      </x:c>
      <x:c r="E170" s="4" t="str">
        <x:v>a, b, bin</x:v>
      </x:c>
      <x:c r="F170" s="4" t="str">
        <x:v>diff, bout</x:v>
      </x:c>
      <x:c r="G170" s="4" t="str">
        <x:v>PP-024</x:v>
      </x:c>
      <x:c r="H170" s="25" t="str">
        <x:v>https://github.com/kapiltrip/PlacementPrep/blob/4aeb1a1555f5051ec06a4cc3fc5ae866fcc13194/src/combinational/arithmetic/full_subtractor.v</x:v>
      </x:c>
      <x:c r="I170" s="4" t="str">
        <x:v>4aeb1a1555f5051ec06a4cc3fc5ae866fcc13194</x:v>
      </x:c>
    </x:row>
    <x:row r="171" ht="54" customHeight="1">
      <x:c r="A171" s="15" t="str">
        <x:v>PlacementPrep</x:v>
      </x:c>
      <x:c r="B171" s="15" t="str">
        <x:v>src/combinational/arithmetic/full_subtractor_from_half.v</x:v>
      </x:c>
      <x:c r="C171" s="15" t="str">
        <x:v>RTL</x:v>
      </x:c>
      <x:c r="D171" s="15" t="str">
        <x:v>full_subtractor_from_half</x:v>
      </x:c>
      <x:c r="E171" s="15" t="str">
        <x:v>a, b, bin</x:v>
      </x:c>
      <x:c r="F171" s="15" t="str">
        <x:v>diff, bout</x:v>
      </x:c>
      <x:c r="G171" s="15" t="str">
        <x:v>PP-025</x:v>
      </x:c>
      <x:c r="H171" s="26" t="str">
        <x:v>https://github.com/kapiltrip/PlacementPrep/blob/4aeb1a1555f5051ec06a4cc3fc5ae866fcc13194/src/combinational/arithmetic/full_subtractor_from_half.v</x:v>
      </x:c>
      <x:c r="I171" s="15" t="str">
        <x:v>4aeb1a1555f5051ec06a4cc3fc5ae866fcc13194</x:v>
      </x:c>
    </x:row>
    <x:row r="172" ht="54" customHeight="1">
      <x:c r="A172" s="4" t="str">
        <x:v>PlacementPrep</x:v>
      </x:c>
      <x:c r="B172" s="4" t="str">
        <x:v>src/combinational/arithmetic/half_adder.v</x:v>
      </x:c>
      <x:c r="C172" s="4" t="str">
        <x:v>RTL</x:v>
      </x:c>
      <x:c r="D172" s="4" t="str">
        <x:v>half_adder</x:v>
      </x:c>
      <x:c r="E172" s="4" t="str">
        <x:v>a, b</x:v>
      </x:c>
      <x:c r="F172" s="4" t="str">
        <x:v>sum, carry</x:v>
      </x:c>
      <x:c r="G172" s="4" t="str">
        <x:v>PP-026</x:v>
      </x:c>
      <x:c r="H172" s="25" t="str">
        <x:v>https://github.com/kapiltrip/PlacementPrep/blob/4aeb1a1555f5051ec06a4cc3fc5ae866fcc13194/src/combinational/arithmetic/half_adder.v</x:v>
      </x:c>
      <x:c r="I172" s="4" t="str">
        <x:v>4aeb1a1555f5051ec06a4cc3fc5ae866fcc13194</x:v>
      </x:c>
    </x:row>
    <x:row r="173" ht="54" customHeight="1">
      <x:c r="A173" s="15" t="str">
        <x:v>PlacementPrep</x:v>
      </x:c>
      <x:c r="B173" s="15" t="str">
        <x:v>src/combinational/arithmetic/half_subtractor.v</x:v>
      </x:c>
      <x:c r="C173" s="15" t="str">
        <x:v>RTL</x:v>
      </x:c>
      <x:c r="D173" s="15" t="str">
        <x:v>half_subtractor</x:v>
      </x:c>
      <x:c r="E173" s="15" t="str">
        <x:v>a, b</x:v>
      </x:c>
      <x:c r="F173" s="15" t="str">
        <x:v>diff, borrow</x:v>
      </x:c>
      <x:c r="G173" s="15" t="str">
        <x:v>PP-027</x:v>
      </x:c>
      <x:c r="H173" s="26" t="str">
        <x:v>https://github.com/kapiltrip/PlacementPrep/blob/4aeb1a1555f5051ec06a4cc3fc5ae866fcc13194/src/combinational/arithmetic/half_subtractor.v</x:v>
      </x:c>
      <x:c r="I173" s="15" t="str">
        <x:v>4aeb1a1555f5051ec06a4cc3fc5ae866fcc13194</x:v>
      </x:c>
    </x:row>
    <x:row r="174" ht="54" customHeight="1">
      <x:c r="A174" s="4" t="str">
        <x:v>PlacementPrep</x:v>
      </x:c>
      <x:c r="B174" s="4" t="str">
        <x:v>src/combinational/arithmetic/ripple_carry_adder.v</x:v>
      </x:c>
      <x:c r="C174" s="4" t="str">
        <x:v>RTL</x:v>
      </x:c>
      <x:c r="D174" s="4" t="str">
        <x:v>ripple_carry_adder</x:v>
      </x:c>
      <x:c r="E174" s="4" t="str">
        <x:v>a, b, cin</x:v>
      </x:c>
      <x:c r="F174" s="4" t="str">
        <x:v>sum, cout</x:v>
      </x:c>
      <x:c r="G174" s="4" t="str">
        <x:v>PP-028</x:v>
      </x:c>
      <x:c r="H174" s="25" t="str">
        <x:v>https://github.com/kapiltrip/PlacementPrep/blob/4aeb1a1555f5051ec06a4cc3fc5ae866fcc13194/src/combinational/arithmetic/ripple_carry_adder.v</x:v>
      </x:c>
      <x:c r="I174" s="4" t="str">
        <x:v>4aeb1a1555f5051ec06a4cc3fc5ae866fcc13194</x:v>
      </x:c>
    </x:row>
    <x:row r="175" ht="54" customHeight="1">
      <x:c r="A175" s="15" t="str">
        <x:v>PlacementPrep</x:v>
      </x:c>
      <x:c r="B175" s="15" t="str">
        <x:v>src/combinational/arithmetic/serial_adder.v</x:v>
      </x:c>
      <x:c r="C175" s="15" t="str">
        <x:v>RTL</x:v>
      </x:c>
      <x:c r="D175" s="15" t="str">
        <x:v>serial_adder</x:v>
      </x:c>
      <x:c r="E175" s="15" t="str">
        <x:v>clk, rst_n, load, enable, a_in, b_in</x:v>
      </x:c>
      <x:c r="F175" s="15" t="str">
        <x:v>sum_out, carry_out, done</x:v>
      </x:c>
      <x:c r="G175" s="15" t="str">
        <x:v>PP-001</x:v>
      </x:c>
      <x:c r="H175" s="26" t="str">
        <x:v>https://github.com/kapiltrip/PlacementPrep/blob/4aeb1a1555f5051ec06a4cc3fc5ae866fcc13194/src/combinational/arithmetic/serial_adder.v</x:v>
      </x:c>
      <x:c r="I175" s="15" t="str">
        <x:v>4aeb1a1555f5051ec06a4cc3fc5ae866fcc13194</x:v>
      </x:c>
    </x:row>
    <x:row r="176" ht="54" customHeight="1">
      <x:c r="A176" s="4" t="str">
        <x:v>PlacementPrep</x:v>
      </x:c>
      <x:c r="B176" s="4" t="str">
        <x:v>src/combinational/arithmetic/twos_complement_add_sub.v</x:v>
      </x:c>
      <x:c r="C176" s="4" t="str">
        <x:v>RTL</x:v>
      </x:c>
      <x:c r="D176" s="4" t="str">
        <x:v>twos_complement_add_sub</x:v>
      </x:c>
      <x:c r="E176" s="4" t="str">
        <x:v>a, b, mode</x:v>
      </x:c>
      <x:c r="F176" s="4" t="str">
        <x:v>result, cout</x:v>
      </x:c>
      <x:c r="G176" s="4" t="str">
        <x:v>PP-029</x:v>
      </x:c>
      <x:c r="H176" s="25" t="str">
        <x:v>https://github.com/kapiltrip/PlacementPrep/blob/4aeb1a1555f5051ec06a4cc3fc5ae866fcc13194/src/combinational/arithmetic/twos_complement_add_sub.v</x:v>
      </x:c>
      <x:c r="I176" s="4" t="str">
        <x:v>4aeb1a1555f5051ec06a4cc3fc5ae866fcc13194</x:v>
      </x:c>
    </x:row>
    <x:row r="177" ht="54" customHeight="1">
      <x:c r="A177" s="15" t="str">
        <x:v>PlacementPrep</x:v>
      </x:c>
      <x:c r="B177" s="15" t="str">
        <x:v>src/combinational/comparators/magnitude_comparator.v</x:v>
      </x:c>
      <x:c r="C177" s="15" t="str">
        <x:v>RTL</x:v>
      </x:c>
      <x:c r="D177" s="15" t="str">
        <x:v>magnitude_comparator</x:v>
      </x:c>
      <x:c r="E177" s="15" t="str">
        <x:v>a, b</x:v>
      </x:c>
      <x:c r="F177" s="15" t="str">
        <x:v>a_gt_b, a_eq_b, a_lt_b</x:v>
      </x:c>
      <x:c r="G177" s="15" t="str">
        <x:v>PP-030</x:v>
      </x:c>
      <x:c r="H177" s="26" t="str">
        <x:v>https://github.com/kapiltrip/PlacementPrep/blob/4aeb1a1555f5051ec06a4cc3fc5ae866fcc13194/src/combinational/comparators/magnitude_comparator.v</x:v>
      </x:c>
      <x:c r="I177" s="15" t="str">
        <x:v>4aeb1a1555f5051ec06a4cc3fc5ae866fcc13194</x:v>
      </x:c>
    </x:row>
    <x:row r="178" ht="54" customHeight="1">
      <x:c r="A178" s="4" t="str">
        <x:v>PlacementPrep</x:v>
      </x:c>
      <x:c r="B178" s="4" t="str">
        <x:v>src/combinational/detectors/invalid_bcd_detector.v</x:v>
      </x:c>
      <x:c r="C178" s="4" t="str">
        <x:v>RTL</x:v>
      </x:c>
      <x:c r="D178" s="4" t="str">
        <x:v>invalid_bcd_detector</x:v>
      </x:c>
      <x:c r="E178" s="4" t="str">
        <x:v>bcd</x:v>
      </x:c>
      <x:c r="F178" s="4" t="str">
        <x:v>invalid</x:v>
      </x:c>
      <x:c r="G178" s="4" t="str">
        <x:v>PP-031</x:v>
      </x:c>
      <x:c r="H178" s="25" t="str">
        <x:v>https://github.com/kapiltrip/PlacementPrep/blob/4aeb1a1555f5051ec06a4cc3fc5ae866fcc13194/src/combinational/detectors/invalid_bcd_detector.v</x:v>
      </x:c>
      <x:c r="I178" s="4" t="str">
        <x:v>4aeb1a1555f5051ec06a4cc3fc5ae866fcc13194</x:v>
      </x:c>
    </x:row>
    <x:row r="179" ht="54" customHeight="1">
      <x:c r="A179" s="15" t="str">
        <x:v>PlacementPrep</x:v>
      </x:c>
      <x:c r="B179" s="15" t="str">
        <x:v>src/combinational/detectors/majority_detector_3.v</x:v>
      </x:c>
      <x:c r="C179" s="15" t="str">
        <x:v>RTL</x:v>
      </x:c>
      <x:c r="D179" s="15" t="str">
        <x:v>majority_detector_3</x:v>
      </x:c>
      <x:c r="E179" s="15" t="str">
        <x:v>a, b, c</x:v>
      </x:c>
      <x:c r="F179" s="15" t="str">
        <x:v>majority</x:v>
      </x:c>
      <x:c r="G179" s="15" t="str">
        <x:v>PP-032</x:v>
      </x:c>
      <x:c r="H179" s="26" t="str">
        <x:v>https://github.com/kapiltrip/PlacementPrep/blob/4aeb1a1555f5051ec06a4cc3fc5ae866fcc13194/src/combinational/detectors/majority_detector_3.v</x:v>
      </x:c>
      <x:c r="I179" s="15" t="str">
        <x:v>4aeb1a1555f5051ec06a4cc3fc5ae866fcc13194</x:v>
      </x:c>
    </x:row>
    <x:row r="180" ht="54" customHeight="1">
      <x:c r="A180" s="4" t="str">
        <x:v>PlacementPrep</x:v>
      </x:c>
      <x:c r="B180" s="4" t="str">
        <x:v>src/combinational/detectors/minority_detector_3.v</x:v>
      </x:c>
      <x:c r="C180" s="4" t="str">
        <x:v>RTL</x:v>
      </x:c>
      <x:c r="D180" s="4" t="str">
        <x:v>minority_detector_3</x:v>
      </x:c>
      <x:c r="E180" s="4" t="str">
        <x:v>a, b, c</x:v>
      </x:c>
      <x:c r="F180" s="4" t="str">
        <x:v>minority</x:v>
      </x:c>
      <x:c r="G180" s="4" t="str">
        <x:v>PP-033</x:v>
      </x:c>
      <x:c r="H180" s="25" t="str">
        <x:v>https://github.com/kapiltrip/PlacementPrep/blob/4aeb1a1555f5051ec06a4cc3fc5ae866fcc13194/src/combinational/detectors/minority_detector_3.v</x:v>
      </x:c>
      <x:c r="I180" s="4" t="str">
        <x:v>4aeb1a1555f5051ec06a4cc3fc5ae866fcc13194</x:v>
      </x:c>
    </x:row>
    <x:row r="181" ht="54" customHeight="1">
      <x:c r="A181" s="15" t="str">
        <x:v>PlacementPrep</x:v>
      </x:c>
      <x:c r="B181" s="15" t="str">
        <x:v>src/combinational/encoders/bcd_to_excess3.v</x:v>
      </x:c>
      <x:c r="C181" s="15" t="str">
        <x:v>RTL</x:v>
      </x:c>
      <x:c r="D181" s="15" t="str">
        <x:v>bcd_to_excess3</x:v>
      </x:c>
      <x:c r="E181" s="15" t="str">
        <x:v>bcd</x:v>
      </x:c>
      <x:c r="F181" s="15" t="str">
        <x:v>excess3</x:v>
      </x:c>
      <x:c r="G181" s="15" t="str">
        <x:v>PP-034</x:v>
      </x:c>
      <x:c r="H181" s="26" t="str">
        <x:v>https://github.com/kapiltrip/PlacementPrep/blob/4aeb1a1555f5051ec06a4cc3fc5ae866fcc13194/src/combinational/encoders/bcd_to_excess3.v</x:v>
      </x:c>
      <x:c r="I181" s="15" t="str">
        <x:v>4aeb1a1555f5051ec06a4cc3fc5ae866fcc13194</x:v>
      </x:c>
    </x:row>
    <x:row r="182" ht="54" customHeight="1">
      <x:c r="A182" s="4" t="str">
        <x:v>PlacementPrep</x:v>
      </x:c>
      <x:c r="B182" s="4" t="str">
        <x:v>src/combinational/encoders/binary_to_bcd_digit.v</x:v>
      </x:c>
      <x:c r="C182" s="4" t="str">
        <x:v>RTL</x:v>
      </x:c>
      <x:c r="D182" s="4" t="str">
        <x:v>binary_to_bcd_digit</x:v>
      </x:c>
      <x:c r="E182" s="4" t="str">
        <x:v>binary_in</x:v>
      </x:c>
      <x:c r="F182" s="4" t="str">
        <x:v>bcd_out, d4, invalid</x:v>
      </x:c>
      <x:c r="G182" s="4" t="str">
        <x:v>PP-035</x:v>
      </x:c>
      <x:c r="H182" s="25" t="str">
        <x:v>https://github.com/kapiltrip/PlacementPrep/blob/4aeb1a1555f5051ec06a4cc3fc5ae866fcc13194/src/combinational/encoders/binary_to_bcd_digit.v</x:v>
      </x:c>
      <x:c r="I182" s="4" t="str">
        <x:v>4aeb1a1555f5051ec06a4cc3fc5ae866fcc13194</x:v>
      </x:c>
    </x:row>
    <x:row r="183" ht="54" customHeight="1">
      <x:c r="A183" s="15" t="str">
        <x:v>PlacementPrep</x:v>
      </x:c>
      <x:c r="B183" s="15" t="str">
        <x:v>src/combinational/logic/xor_from_nand.v</x:v>
      </x:c>
      <x:c r="C183" s="15" t="str">
        <x:v>RTL</x:v>
      </x:c>
      <x:c r="D183" s="15" t="str">
        <x:v>xor_from_nand</x:v>
      </x:c>
      <x:c r="E183" s="15" t="str">
        <x:v>a, b</x:v>
      </x:c>
      <x:c r="F183" s="15" t="str">
        <x:v>y</x:v>
      </x:c>
      <x:c r="G183" s="15" t="str">
        <x:v>PP-036</x:v>
      </x:c>
      <x:c r="H183" s="26" t="str">
        <x:v>https://github.com/kapiltrip/PlacementPrep/blob/4aeb1a1555f5051ec06a4cc3fc5ae866fcc13194/src/combinational/logic/xor_from_nand.v</x:v>
      </x:c>
      <x:c r="I183" s="15" t="str">
        <x:v>4aeb1a1555f5051ec06a4cc3fc5ae866fcc13194</x:v>
      </x:c>
    </x:row>
    <x:row r="184" ht="54" customHeight="1">
      <x:c r="A184" s="4" t="str">
        <x:v>PlacementPrep</x:v>
      </x:c>
      <x:c r="B184" s="4" t="str">
        <x:v>src/combinational/misc/automobile_alarm.v</x:v>
      </x:c>
      <x:c r="C184" s="4" t="str">
        <x:v>RTL</x:v>
      </x:c>
      <x:c r="D184" s="4" t="str">
        <x:v>automobile_alarm</x:v>
      </x:c>
      <x:c r="E184" s="4" t="str">
        <x:v>door_open, ignition_on, headlight_on</x:v>
      </x:c>
      <x:c r="F184" s="4" t="str">
        <x:v>alarm_n</x:v>
      </x:c>
      <x:c r="G184" s="4" t="str">
        <x:v>PP-037</x:v>
      </x:c>
      <x:c r="H184" s="25" t="str">
        <x:v>https://github.com/kapiltrip/PlacementPrep/blob/4aeb1a1555f5051ec06a4cc3fc5ae866fcc13194/src/combinational/misc/automobile_alarm.v</x:v>
      </x:c>
      <x:c r="I184" s="4" t="str">
        <x:v>4aeb1a1555f5051ec06a4cc3fc5ae866fcc13194</x:v>
      </x:c>
    </x:row>
    <x:row r="185" ht="54" customHeight="1">
      <x:c r="A185" s="15" t="str">
        <x:v>PlacementPrep</x:v>
      </x:c>
      <x:c r="B185" s="15" t="str">
        <x:v>src/combinational/parity/parity_checker.v</x:v>
      </x:c>
      <x:c r="C185" s="15" t="str">
        <x:v>RTL</x:v>
      </x:c>
      <x:c r="D185" s="15" t="str">
        <x:v>parity_checker</x:v>
      </x:c>
      <x:c r="E185" s="15" t="str">
        <x:v>data_in, parity_bit</x:v>
      </x:c>
      <x:c r="F185" s="15" t="str">
        <x:v>error</x:v>
      </x:c>
      <x:c r="G185" s="15" t="str">
        <x:v>PP-002</x:v>
      </x:c>
      <x:c r="H185" s="26" t="str">
        <x:v>https://github.com/kapiltrip/PlacementPrep/blob/4aeb1a1555f5051ec06a4cc3fc5ae866fcc13194/src/combinational/parity/parity_checker.v</x:v>
      </x:c>
      <x:c r="I185" s="15" t="str">
        <x:v>4aeb1a1555f5051ec06a4cc3fc5ae866fcc13194</x:v>
      </x:c>
    </x:row>
    <x:row r="186" ht="54" customHeight="1">
      <x:c r="A186" s="4" t="str">
        <x:v>PlacementPrep</x:v>
      </x:c>
      <x:c r="B186" s="4" t="str">
        <x:v>src/combinational/parity/parity_generator.v</x:v>
      </x:c>
      <x:c r="C186" s="4" t="str">
        <x:v>RTL</x:v>
      </x:c>
      <x:c r="D186" s="4" t="str">
        <x:v>parity_generator</x:v>
      </x:c>
      <x:c r="E186" s="4" t="str">
        <x:v>data_in</x:v>
      </x:c>
      <x:c r="F186" s="4" t="str">
        <x:v>parity_bit</x:v>
      </x:c>
      <x:c r="G186" s="4" t="str">
        <x:v>PP-002</x:v>
      </x:c>
      <x:c r="H186" s="25" t="str">
        <x:v>https://github.com/kapiltrip/PlacementPrep/blob/4aeb1a1555f5051ec06a4cc3fc5ae866fcc13194/src/combinational/parity/parity_generator.v</x:v>
      </x:c>
      <x:c r="I186" s="4" t="str">
        <x:v>4aeb1a1555f5051ec06a4cc3fc5ae866fcc13194</x:v>
      </x:c>
    </x:row>
    <x:row r="187" ht="54" customHeight="1">
      <x:c r="A187" s="15" t="str">
        <x:v>PlacementPrep</x:v>
      </x:c>
      <x:c r="B187" s="15" t="str">
        <x:v>src/dataflow/and2_d.v</x:v>
      </x:c>
      <x:c r="C187" s="15" t="str">
        <x:v>RTL</x:v>
      </x:c>
      <x:c r="D187" s="15" t="str">
        <x:v>and2_d</x:v>
      </x:c>
      <x:c r="E187" s="15" t="str">
        <x:v>a, b</x:v>
      </x:c>
      <x:c r="F187" s="15" t="str">
        <x:v>y</x:v>
      </x:c>
      <x:c r="G187" s="15" t="str">
        <x:v>PP-038</x:v>
      </x:c>
      <x:c r="H187" s="26" t="str">
        <x:v>https://github.com/kapiltrip/PlacementPrep/blob/4aeb1a1555f5051ec06a4cc3fc5ae866fcc13194/src/dataflow/and2_d.v</x:v>
      </x:c>
      <x:c r="I187" s="15" t="str">
        <x:v>4aeb1a1555f5051ec06a4cc3fc5ae866fcc13194</x:v>
      </x:c>
    </x:row>
    <x:row r="188" ht="54" customHeight="1">
      <x:c r="A188" s="4" t="str">
        <x:v>PlacementPrep</x:v>
      </x:c>
      <x:c r="B188" s="4" t="str">
        <x:v>src/dataflow/mux2_d.v</x:v>
      </x:c>
      <x:c r="C188" s="4" t="str">
        <x:v>RTL</x:v>
      </x:c>
      <x:c r="D188" s="4" t="str">
        <x:v>mux2_d</x:v>
      </x:c>
      <x:c r="E188" s="4" t="str">
        <x:v>a, b, sel</x:v>
      </x:c>
      <x:c r="F188" s="4" t="str">
        <x:v>y</x:v>
      </x:c>
      <x:c r="G188" s="4" t="str">
        <x:v>PP-039</x:v>
      </x:c>
      <x:c r="H188" s="25" t="str">
        <x:v>https://github.com/kapiltrip/PlacementPrep/blob/4aeb1a1555f5051ec06a4cc3fc5ae866fcc13194/src/dataflow/mux2_d.v</x:v>
      </x:c>
      <x:c r="I188" s="4" t="str">
        <x:v>4aeb1a1555f5051ec06a4cc3fc5ae866fcc13194</x:v>
      </x:c>
    </x:row>
    <x:row r="189" ht="54" customHeight="1">
      <x:c r="A189" s="15" t="str">
        <x:v>PlacementPrep</x:v>
      </x:c>
      <x:c r="B189" s="15" t="str">
        <x:v>src/dataflow/not1_d.v</x:v>
      </x:c>
      <x:c r="C189" s="15" t="str">
        <x:v>RTL</x:v>
      </x:c>
      <x:c r="D189" s="15" t="str">
        <x:v>not1_d</x:v>
      </x:c>
      <x:c r="E189" s="15" t="str">
        <x:v>a</x:v>
      </x:c>
      <x:c r="F189" s="15" t="str">
        <x:v>y</x:v>
      </x:c>
      <x:c r="G189" s="15" t="str">
        <x:v>PP-040</x:v>
      </x:c>
      <x:c r="H189" s="26" t="str">
        <x:v>https://github.com/kapiltrip/PlacementPrep/blob/4aeb1a1555f5051ec06a4cc3fc5ae866fcc13194/src/dataflow/not1_d.v</x:v>
      </x:c>
      <x:c r="I189" s="15" t="str">
        <x:v>4aeb1a1555f5051ec06a4cc3fc5ae866fcc13194</x:v>
      </x:c>
    </x:row>
    <x:row r="190" ht="54" customHeight="1">
      <x:c r="A190" s="4" t="str">
        <x:v>PlacementPrep</x:v>
      </x:c>
      <x:c r="B190" s="4" t="str">
        <x:v>src/dataflow/or2_d.v</x:v>
      </x:c>
      <x:c r="C190" s="4" t="str">
        <x:v>RTL</x:v>
      </x:c>
      <x:c r="D190" s="4" t="str">
        <x:v>or2_d</x:v>
      </x:c>
      <x:c r="E190" s="4" t="str">
        <x:v>a, b</x:v>
      </x:c>
      <x:c r="F190" s="4" t="str">
        <x:v>y</x:v>
      </x:c>
      <x:c r="G190" s="4" t="str">
        <x:v>PP-041</x:v>
      </x:c>
      <x:c r="H190" s="25" t="str">
        <x:v>https://github.com/kapiltrip/PlacementPrep/blob/4aeb1a1555f5051ec06a4cc3fc5ae866fcc13194/src/dataflow/or2_d.v</x:v>
      </x:c>
      <x:c r="I190" s="4" t="str">
        <x:v>4aeb1a1555f5051ec06a4cc3fc5ae866fcc13194</x:v>
      </x:c>
    </x:row>
    <x:row r="191" ht="54" customHeight="1">
      <x:c r="A191" s="15" t="str">
        <x:v>PlacementPrep</x:v>
      </x:c>
      <x:c r="B191" s="15" t="str">
        <x:v>src/dataflow/tri_buf_d.v</x:v>
      </x:c>
      <x:c r="C191" s="15" t="str">
        <x:v>RTL</x:v>
      </x:c>
      <x:c r="D191" s="15" t="str">
        <x:v>tri_buf_d</x:v>
      </x:c>
      <x:c r="E191" s="15" t="str">
        <x:v>en, a</x:v>
      </x:c>
      <x:c r="F191" s="15" t="str">
        <x:v>y</x:v>
      </x:c>
      <x:c r="G191" s="15" t="str">
        <x:v>PP-042</x:v>
      </x:c>
      <x:c r="H191" s="26" t="str">
        <x:v>https://github.com/kapiltrip/PlacementPrep/blob/4aeb1a1555f5051ec06a4cc3fc5ae866fcc13194/src/dataflow/tri_buf_d.v</x:v>
      </x:c>
      <x:c r="I191" s="15" t="str">
        <x:v>4aeb1a1555f5051ec06a4cc3fc5ae866fcc13194</x:v>
      </x:c>
    </x:row>
    <x:row r="192" ht="54" customHeight="1">
      <x:c r="A192" s="4" t="str">
        <x:v>PlacementPrep</x:v>
      </x:c>
      <x:c r="B192" s="4" t="str">
        <x:v>src/dataflow/xnor2_d.v</x:v>
      </x:c>
      <x:c r="C192" s="4" t="str">
        <x:v>RTL</x:v>
      </x:c>
      <x:c r="D192" s="4" t="str">
        <x:v>xnor2_d</x:v>
      </x:c>
      <x:c r="E192" s="4" t="str">
        <x:v>a, b</x:v>
      </x:c>
      <x:c r="F192" s="4" t="str">
        <x:v>y</x:v>
      </x:c>
      <x:c r="G192" s="4" t="str">
        <x:v>PP-043</x:v>
      </x:c>
      <x:c r="H192" s="25" t="str">
        <x:v>https://github.com/kapiltrip/PlacementPrep/blob/4aeb1a1555f5051ec06a4cc3fc5ae866fcc13194/src/dataflow/xnor2_d.v</x:v>
      </x:c>
      <x:c r="I192" s="4" t="str">
        <x:v>4aeb1a1555f5051ec06a4cc3fc5ae866fcc13194</x:v>
      </x:c>
    </x:row>
    <x:row r="193" ht="54" customHeight="1">
      <x:c r="A193" s="15" t="str">
        <x:v>PlacementPrep</x:v>
      </x:c>
      <x:c r="B193" s="15" t="str">
        <x:v>src/dataflow/xnor_n_d.v</x:v>
      </x:c>
      <x:c r="C193" s="15" t="str">
        <x:v>RTL</x:v>
      </x:c>
      <x:c r="D193" s="15" t="str">
        <x:v>xnor_n_d</x:v>
      </x:c>
      <x:c r="E193" s="15" t="str">
        <x:v>a</x:v>
      </x:c>
      <x:c r="F193" s="15" t="str">
        <x:v>y</x:v>
      </x:c>
      <x:c r="G193" s="15" t="str">
        <x:v>PP-044</x:v>
      </x:c>
      <x:c r="H193" s="26" t="str">
        <x:v>https://github.com/kapiltrip/PlacementPrep/blob/4aeb1a1555f5051ec06a4cc3fc5ae866fcc13194/src/dataflow/xnor_n_d.v</x:v>
      </x:c>
      <x:c r="I193" s="15" t="str">
        <x:v>4aeb1a1555f5051ec06a4cc3fc5ae866fcc13194</x:v>
      </x:c>
    </x:row>
    <x:row r="194" ht="54" customHeight="1">
      <x:c r="A194" s="4" t="str">
        <x:v>PlacementPrep</x:v>
      </x:c>
      <x:c r="B194" s="4" t="str">
        <x:v>src/dataflow/xor2_d.v</x:v>
      </x:c>
      <x:c r="C194" s="4" t="str">
        <x:v>RTL</x:v>
      </x:c>
      <x:c r="D194" s="4" t="str">
        <x:v>xor2_d</x:v>
      </x:c>
      <x:c r="E194" s="4" t="str">
        <x:v>a, b</x:v>
      </x:c>
      <x:c r="F194" s="4" t="str">
        <x:v>y</x:v>
      </x:c>
      <x:c r="G194" s="4" t="str">
        <x:v>PP-045</x:v>
      </x:c>
      <x:c r="H194" s="25" t="str">
        <x:v>https://github.com/kapiltrip/PlacementPrep/blob/4aeb1a1555f5051ec06a4cc3fc5ae866fcc13194/src/dataflow/xor2_d.v</x:v>
      </x:c>
      <x:c r="I194" s="4" t="str">
        <x:v>4aeb1a1555f5051ec06a4cc3fc5ae866fcc13194</x:v>
      </x:c>
    </x:row>
    <x:row r="195" ht="54" customHeight="1">
      <x:c r="A195" s="15" t="str">
        <x:v>PlacementPrep</x:v>
      </x:c>
      <x:c r="B195" s="15" t="str">
        <x:v>src/dataflow/xor_n_d.v</x:v>
      </x:c>
      <x:c r="C195" s="15" t="str">
        <x:v>RTL</x:v>
      </x:c>
      <x:c r="D195" s="15" t="str">
        <x:v>xor_n_d</x:v>
      </x:c>
      <x:c r="E195" s="15" t="str">
        <x:v>a</x:v>
      </x:c>
      <x:c r="F195" s="15" t="str">
        <x:v>y</x:v>
      </x:c>
      <x:c r="G195" s="15" t="str">
        <x:v>PP-046</x:v>
      </x:c>
      <x:c r="H195" s="26" t="str">
        <x:v>https://github.com/kapiltrip/PlacementPrep/blob/4aeb1a1555f5051ec06a4cc3fc5ae866fcc13194/src/dataflow/xor_n_d.v</x:v>
      </x:c>
      <x:c r="I195" s="15" t="str">
        <x:v>4aeb1a1555f5051ec06a4cc3fc5ae866fcc13194</x:v>
      </x:c>
    </x:row>
    <x:row r="196" ht="54" customHeight="1">
      <x:c r="A196" s="4" t="str">
        <x:v>PlacementPrep</x:v>
      </x:c>
      <x:c r="B196" s="4" t="str">
        <x:v>tb/common/assert.vh</x:v>
      </x:c>
      <x:c r="C196" s="4" t="str">
        <x:v>Verification support</x:v>
      </x:c>
      <x:c r="D196" s="4" t="str">
        <x:v>(incomplete/no module)</x:v>
      </x:c>
      <x:c r="E196" s="4" t="str"/>
      <x:c r="F196" s="4" t="str"/>
      <x:c r="G196" s="4" t="str">
        <x:v>Supporting evidence only; map assertions to case IDs before claiming coverage.</x:v>
      </x:c>
      <x:c r="H196" s="25" t="str">
        <x:v>https://github.com/kapiltrip/PlacementPrep/blob/4aeb1a1555f5051ec06a4cc3fc5ae866fcc13194/tb/common/assert.vh</x:v>
      </x:c>
      <x:c r="I196" s="4" t="str">
        <x:v>4aeb1a1555f5051ec06a4cc3fc5ae866fcc13194</x:v>
      </x:c>
    </x:row>
    <x:row r="197" ht="54" customHeight="1">
      <x:c r="A197" s="15" t="str">
        <x:v>PlacementPrep</x:v>
      </x:c>
      <x:c r="B197" s="15" t="str">
        <x:v>tb/gates_all_styles_tb.v</x:v>
      </x:c>
      <x:c r="C197" s="15" t="str">
        <x:v>Existing testbench</x:v>
      </x:c>
      <x:c r="D197" s="15" t="str">
        <x:v>gates_all_styles_tb</x:v>
      </x:c>
      <x:c r="E197" s="15" t="str"/>
      <x:c r="F197" s="15" t="str"/>
      <x:c r="G197" s="15" t="str">
        <x:v>Supporting evidence only; map assertions to case IDs before claiming coverage.</x:v>
      </x:c>
      <x:c r="H197" s="26" t="str">
        <x:v>https://github.com/kapiltrip/PlacementPrep/blob/4aeb1a1555f5051ec06a4cc3fc5ae866fcc13194/tb/gates_all_styles_tb.v</x:v>
      </x:c>
      <x:c r="I197" s="15" t="str">
        <x:v>4aeb1a1555f5051ec06a4cc3fc5ae866fcc13194</x:v>
      </x:c>
    </x:row>
    <x:row r="198" ht="54" customHeight="1">
      <x:c r="A198" s="4" t="str">
        <x:v>PlacementPrep</x:v>
      </x:c>
      <x:c r="B198" s="4" t="str">
        <x:v>tb/xor_xnor_tb.v</x:v>
      </x:c>
      <x:c r="C198" s="4" t="str">
        <x:v>Existing testbench</x:v>
      </x:c>
      <x:c r="D198" s="4" t="str">
        <x:v>xor_xnor_tb</x:v>
      </x:c>
      <x:c r="E198" s="4" t="str"/>
      <x:c r="F198" s="4" t="str"/>
      <x:c r="G198" s="4" t="str">
        <x:v>Supporting evidence only; map assertions to case IDs before claiming coverage.</x:v>
      </x:c>
      <x:c r="H198" s="25" t="str">
        <x:v>https://github.com/kapiltrip/PlacementPrep/blob/4aeb1a1555f5051ec06a4cc3fc5ae866fcc13194/tb/xor_xnor_tb.v</x:v>
      </x:c>
      <x:c r="I198" s="4" t="str">
        <x:v>4aeb1a1555f5051ec06a4cc3fc5ae866fcc13194</x:v>
      </x:c>
    </x:row>
    <x:row r="199" ht="166" customHeight="1">
      <x:c r="A199" s="15" t="str">
        <x:v>PlacementPrep</x:v>
      </x:c>
      <x:c r="B199" s="15" t="str">
        <x:v>todo.v</x:v>
      </x:c>
      <x:c r="C199" s="15" t="str">
        <x:v>Practice draft</x:v>
      </x:c>
      <x:c r="D199" s="15" t="str">
        <x:v>and_b, mux_b, mux_b_ref, not_b, not_b_ref, or_b, triStateBuffer, triStateBuffer_ref, exnor_b, xnor_b_ref, xor_b, and_d, mux_d, mux_d_ref, not_d, or_d, triState, xnor_d, xnor_n_d_ref, xnor_d, xnor2_d_ref, xor_d, xor_n_d_ref, xor_d, xor2_d_ref, and_g, mux_g, mux_g_ref, not_d, not_g_ref, or_g, triBuffer, triBuffer_ref, xnor_g, xnor2_from_nand_g_ref, xnor_g, xnor2_from_nor_g_ref, xnor_g, xnor2_g_ref, xnor_g, xor2_from_nand_g_ref, xor_g, xor2_from_nor_g_ref, xor_g, xor2_g_ref</x:v>
      </x:c>
      <x:c r="E199" s="15" t="str">
        <x:v>a, b, sel, en, enable</x:v>
      </x:c>
      <x:c r="F199" s="15" t="str">
        <x:v>y</x:v>
      </x:c>
      <x:c r="G199" s="15" t="str">
        <x:v>PP-047</x:v>
      </x:c>
      <x:c r="H199" s="26" t="str">
        <x:v>https://github.com/kapiltrip/PlacementPrep/blob/4aeb1a1555f5051ec06a4cc3fc5ae866fcc13194/todo.v</x:v>
      </x:c>
      <x:c r="I199" s="15" t="str">
        <x:v>4aeb1a1555f5051ec06a4cc3fc5ae866fcc13194</x:v>
      </x:c>
    </x:row>
    <x:row r="200" ht="54" customHeight="1">
      <x:c r="A200" s="4" t="str">
        <x:v>GoodQuestions</x:v>
      </x:c>
      <x:c r="B200" s="4" t="str">
        <x:v>qa/bi_buf/bi_buf.v</x:v>
      </x:c>
      <x:c r="C200" s="4" t="str">
        <x:v>RTL</x:v>
      </x:c>
      <x:c r="D200" s="4" t="str">
        <x:v>bi_buf</x:v>
      </x:c>
      <x:c r="E200" s="4" t="str">
        <x:v>c</x:v>
      </x:c>
      <x:c r="F200" s="4" t="str"/>
      <x:c r="G200" s="4" t="str">
        <x:v>GQ-036, GQ-079</x:v>
      </x:c>
      <x:c r="H200" s="25" t="str">
        <x:v>https://github.com/kapiltrip/GoodQuestions/blob/a83e5a8a5d7262dd223ebbf4af2bf4c8434d9701/qa/bi_buf/bi_buf.v</x:v>
      </x:c>
      <x:c r="I200" s="4" t="str">
        <x:v>a83e5a8a5d7262dd223ebbf4af2bf4c8434d9701</x:v>
      </x:c>
    </x:row>
    <x:row r="201" ht="54" customHeight="1">
      <x:c r="A201" s="15" t="str">
        <x:v>GoodQuestions</x:v>
      </x:c>
      <x:c r="B201" s="15" t="str">
        <x:v>qa/pdf_q03_q06/q03_logic_gates.v</x:v>
      </x:c>
      <x:c r="C201" s="15" t="str">
        <x:v>RTL</x:v>
      </x:c>
      <x:c r="D201" s="15" t="str">
        <x:v>q03, q03_bitwise_vector, q03_logical</x:v>
      </x:c>
      <x:c r="E201" s="15" t="str">
        <x:v>a, b</x:v>
      </x:c>
      <x:c r="F201" s="15" t="str">
        <x:v>and_y, or_y, xor_y, nand_y, nor_y, xnor_y</x:v>
      </x:c>
      <x:c r="G201" s="15" t="str">
        <x:v>GQ-037</x:v>
      </x:c>
      <x:c r="H201" s="26" t="str">
        <x:v>https://github.com/kapiltrip/GoodQuestions/blob/a83e5a8a5d7262dd223ebbf4af2bf4c8434d9701/qa/pdf_q03_q06/q03_logic_gates.v</x:v>
      </x:c>
      <x:c r="I201" s="15" t="str">
        <x:v>a83e5a8a5d7262dd223ebbf4af2bf4c8434d9701</x:v>
      </x:c>
    </x:row>
    <x:row r="202" ht="54" customHeight="1">
      <x:c r="A202" s="4" t="str">
        <x:v>GoodQuestions</x:v>
      </x:c>
      <x:c r="B202" s="4" t="str">
        <x:v>qa/pdf_q03_q06/q04_bitwise_reduction.v</x:v>
      </x:c>
      <x:c r="C202" s="4" t="str">
        <x:v>RTL</x:v>
      </x:c>
      <x:c r="D202" s="4" t="str">
        <x:v>q04</x:v>
      </x:c>
      <x:c r="E202" s="4" t="str">
        <x:v>databus</x:v>
      </x:c>
      <x:c r="F202" s="4" t="str">
        <x:v>all_ones_detected, is_databus_odd, signal_not_zero</x:v>
      </x:c>
      <x:c r="G202" s="4" t="str">
        <x:v>GQ-038</x:v>
      </x:c>
      <x:c r="H202" s="25" t="str">
        <x:v>https://github.com/kapiltrip/GoodQuestions/blob/a83e5a8a5d7262dd223ebbf4af2bf4c8434d9701/qa/pdf_q03_q06/q04_bitwise_reduction.v</x:v>
      </x:c>
      <x:c r="I202" s="4" t="str">
        <x:v>a83e5a8a5d7262dd223ebbf4af2bf4c8434d9701</x:v>
      </x:c>
    </x:row>
    <x:row r="203" ht="54" customHeight="1">
      <x:c r="A203" s="15" t="str">
        <x:v>GoodQuestions</x:v>
      </x:c>
      <x:c r="B203" s="15" t="str">
        <x:v>qa/pdf_q03_q06/q05_shift_operations.v</x:v>
      </x:c>
      <x:c r="C203" s="15" t="str">
        <x:v>RTL</x:v>
      </x:c>
      <x:c r="D203" s="15" t="str">
        <x:v>q05</x:v>
      </x:c>
      <x:c r="E203" s="15" t="str">
        <x:v>a</x:v>
      </x:c>
      <x:c r="F203" s="15" t="str">
        <x:v>mul_by_4, div_by_8</x:v>
      </x:c>
      <x:c r="G203" s="15" t="str">
        <x:v>GQ-039</x:v>
      </x:c>
      <x:c r="H203" s="26" t="str">
        <x:v>https://github.com/kapiltrip/GoodQuestions/blob/a83e5a8a5d7262dd223ebbf4af2bf4c8434d9701/qa/pdf_q03_q06/q05_shift_operations.v</x:v>
      </x:c>
      <x:c r="I203" s="15" t="str">
        <x:v>a83e5a8a5d7262dd223ebbf4af2bf4c8434d9701</x:v>
      </x:c>
    </x:row>
    <x:row r="204" ht="54" customHeight="1">
      <x:c r="A204" s="4" t="str">
        <x:v>GoodQuestions</x:v>
      </x:c>
      <x:c r="B204" s="4" t="str">
        <x:v>qa/pdf_q03_q06/q06_sign_extension.v</x:v>
      </x:c>
      <x:c r="C204" s="4" t="str">
        <x:v>RTL</x:v>
      </x:c>
      <x:c r="D204" s="4" t="str">
        <x:v>q06</x:v>
      </x:c>
      <x:c r="E204" s="4" t="str">
        <x:v>a</x:v>
      </x:c>
      <x:c r="F204" s="4" t="str">
        <x:v>c</x:v>
      </x:c>
      <x:c r="G204" s="4" t="str">
        <x:v>GQ-040</x:v>
      </x:c>
      <x:c r="H204" s="25" t="str">
        <x:v>https://github.com/kapiltrip/GoodQuestions/blob/a83e5a8a5d7262dd223ebbf4af2bf4c8434d9701/qa/pdf_q03_q06/q06_sign_extension.v</x:v>
      </x:c>
      <x:c r="I204" s="4" t="str">
        <x:v>a83e5a8a5d7262dd223ebbf4af2bf4c8434d9701</x:v>
      </x:c>
    </x:row>
    <x:row r="205" ht="54" customHeight="1">
      <x:c r="A205" s="15" t="str">
        <x:v>GoodQuestions</x:v>
      </x:c>
      <x:c r="B205" s="15" t="str">
        <x:v>qa/pdf_q07_q11/q07_mux4_styles.v</x:v>
      </x:c>
      <x:c r="C205" s="15" t="str">
        <x:v>RTL</x:v>
      </x:c>
      <x:c r="D205" s="15" t="str">
        <x:v>q07_a, q07_b, q07_c</x:v>
      </x:c>
      <x:c r="E205" s="15" t="str">
        <x:v>a, b, c, d, sel</x:v>
      </x:c>
      <x:c r="F205" s="15" t="str">
        <x:v>y</x:v>
      </x:c>
      <x:c r="G205" s="15" t="str">
        <x:v>GQ-041</x:v>
      </x:c>
      <x:c r="H205" s="26" t="str">
        <x:v>https://github.com/kapiltrip/GoodQuestions/blob/a83e5a8a5d7262dd223ebbf4af2bf4c8434d9701/qa/pdf_q07_q11/q07_mux4_styles.v</x:v>
      </x:c>
      <x:c r="I205" s="15" t="str">
        <x:v>a83e5a8a5d7262dd223ebbf4af2bf4c8434d9701</x:v>
      </x:c>
    </x:row>
    <x:row r="206" ht="54" customHeight="1">
      <x:c r="A206" s="4" t="str">
        <x:v>GoodQuestions</x:v>
      </x:c>
      <x:c r="B206" s="4" t="str">
        <x:v>qa/pdf_q07_q11/q09_ff_reset_styles.v</x:v>
      </x:c>
      <x:c r="C206" s="4" t="str">
        <x:v>RTL</x:v>
      </x:c>
      <x:c r="D206" s="4" t="str">
        <x:v>q09_a, q09_b</x:v>
      </x:c>
      <x:c r="E206" s="4" t="str">
        <x:v>clk, rst, d</x:v>
      </x:c>
      <x:c r="F206" s="4" t="str">
        <x:v>q</x:v>
      </x:c>
      <x:c r="G206" s="4" t="str">
        <x:v>GQ-042</x:v>
      </x:c>
      <x:c r="H206" s="25" t="str">
        <x:v>https://github.com/kapiltrip/GoodQuestions/blob/a83e5a8a5d7262dd223ebbf4af2bf4c8434d9701/qa/pdf_q07_q11/q09_ff_reset_styles.v</x:v>
      </x:c>
      <x:c r="I206" s="4" t="str">
        <x:v>a83e5a8a5d7262dd223ebbf4af2bf4c8434d9701</x:v>
      </x:c>
    </x:row>
    <x:row r="207" ht="54" customHeight="1">
      <x:c r="A207" s="15" t="str">
        <x:v>GoodQuestions</x:v>
      </x:c>
      <x:c r="B207" s="15" t="str">
        <x:v>qa/pdf_q07_q11/q10_latch_and_flop.v</x:v>
      </x:c>
      <x:c r="C207" s="15" t="str">
        <x:v>RTL</x:v>
      </x:c>
      <x:c r="D207" s="15" t="str">
        <x:v>q10</x:v>
      </x:c>
      <x:c r="E207" s="15" t="str">
        <x:v>clk, input_sig</x:v>
      </x:c>
      <x:c r="F207" s="15" t="str">
        <x:v>q_latch, q_flop</x:v>
      </x:c>
      <x:c r="G207" s="15" t="str">
        <x:v>GQ-043</x:v>
      </x:c>
      <x:c r="H207" s="26" t="str">
        <x:v>https://github.com/kapiltrip/GoodQuestions/blob/a83e5a8a5d7262dd223ebbf4af2bf4c8434d9701/qa/pdf_q07_q11/q10_latch_and_flop.v</x:v>
      </x:c>
      <x:c r="I207" s="15" t="str">
        <x:v>a83e5a8a5d7262dd223ebbf4af2bf4c8434d9701</x:v>
      </x:c>
    </x:row>
    <x:row r="208" ht="54" customHeight="1">
      <x:c r="A208" s="4" t="str">
        <x:v>GoodQuestions</x:v>
      </x:c>
      <x:c r="B208" s="4" t="str">
        <x:v>qa/pdf_q07_q11/q11_edge_detect.v</x:v>
      </x:c>
      <x:c r="C208" s="4" t="str">
        <x:v>RTL</x:v>
      </x:c>
      <x:c r="D208" s="4" t="str">
        <x:v>q11</x:v>
      </x:c>
      <x:c r="E208" s="4" t="str">
        <x:v>clk, rst, d</x:v>
      </x:c>
      <x:c r="F208" s="4" t="str">
        <x:v>rising, falling, toggle</x:v>
      </x:c>
      <x:c r="G208" s="4" t="str">
        <x:v>GQ-044</x:v>
      </x:c>
      <x:c r="H208" s="25" t="str">
        <x:v>https://github.com/kapiltrip/GoodQuestions/blob/a83e5a8a5d7262dd223ebbf4af2bf4c8434d9701/qa/pdf_q07_q11/q11_edge_detect.v</x:v>
      </x:c>
      <x:c r="I208" s="4" t="str">
        <x:v>a83e5a8a5d7262dd223ebbf4af2bf4c8434d9701</x:v>
      </x:c>
    </x:row>
    <x:row r="209" ht="54" customHeight="1">
      <x:c r="A209" s="15" t="str">
        <x:v>GoodQuestions</x:v>
      </x:c>
      <x:c r="B209" s="15" t="str">
        <x:v>qa/pdf_q12_q18/q12_one_cycle_pulse_detect.v</x:v>
      </x:c>
      <x:c r="C209" s="15" t="str">
        <x:v>RTL</x:v>
      </x:c>
      <x:c r="D209" s="15" t="str">
        <x:v>q12</x:v>
      </x:c>
      <x:c r="E209" s="15" t="str">
        <x:v>clk, rst, d</x:v>
      </x:c>
      <x:c r="F209" s="15" t="str">
        <x:v>pulse_high, pulse_low</x:v>
      </x:c>
      <x:c r="G209" s="15" t="str">
        <x:v>GQ-045</x:v>
      </x:c>
      <x:c r="H209" s="26" t="str">
        <x:v>https://github.com/kapiltrip/GoodQuestions/blob/a83e5a8a5d7262dd223ebbf4af2bf4c8434d9701/qa/pdf_q12_q18/q12_one_cycle_pulse_detect.v</x:v>
      </x:c>
      <x:c r="I209" s="15" t="str">
        <x:v>a83e5a8a5d7262dd223ebbf4af2bf4c8434d9701</x:v>
      </x:c>
    </x:row>
    <x:row r="210" ht="54" customHeight="1">
      <x:c r="A210" s="4" t="str">
        <x:v>GoodQuestions</x:v>
      </x:c>
      <x:c r="B210" s="4" t="str">
        <x:v>qa/pdf_q12_q18/q13_seq_10110_fsms_abcd.v</x:v>
      </x:c>
      <x:c r="C210" s="4" t="str">
        <x:v>RTL</x:v>
      </x:c>
      <x:c r="D210" s="4" t="str">
        <x:v>q13_a, q13_b, q13_c, q13_d</x:v>
      </x:c>
      <x:c r="E210" s="4" t="str">
        <x:v>clk, rst, x</x:v>
      </x:c>
      <x:c r="F210" s="4" t="str">
        <x:v>y</x:v>
      </x:c>
      <x:c r="G210" s="4" t="str">
        <x:v>GQ-046</x:v>
      </x:c>
      <x:c r="H210" s="25" t="str">
        <x:v>https://github.com/kapiltrip/GoodQuestions/blob/a83e5a8a5d7262dd223ebbf4af2bf4c8434d9701/qa/pdf_q12_q18/q13_seq_10110_fsms_abcd.v</x:v>
      </x:c>
      <x:c r="I210" s="4" t="str">
        <x:v>a83e5a8a5d7262dd223ebbf4af2bf4c8434d9701</x:v>
      </x:c>
    </x:row>
    <x:row r="211" ht="54" customHeight="1">
      <x:c r="A211" s="15" t="str">
        <x:v>GoodQuestions</x:v>
      </x:c>
      <x:c r="B211" s="15" t="str">
        <x:v>qa/pdf_q12_q18/q14_last5_detect_10110.v</x:v>
      </x:c>
      <x:c r="C211" s="15" t="str">
        <x:v>RTL</x:v>
      </x:c>
      <x:c r="D211" s="15" t="str">
        <x:v>q14_last5_detect_10110, q14_last5_detect_10110_msb_insert, tb_q14_last5_detect_10110</x:v>
      </x:c>
      <x:c r="E211" s="15" t="str">
        <x:v>clk, rst, din, bit_in</x:v>
      </x:c>
      <x:c r="F211" s="15" t="str">
        <x:v>match</x:v>
      </x:c>
      <x:c r="G211" s="15" t="str">
        <x:v>GQ-047</x:v>
      </x:c>
      <x:c r="H211" s="26" t="str">
        <x:v>https://github.com/kapiltrip/GoodQuestions/blob/a83e5a8a5d7262dd223ebbf4af2bf4c8434d9701/qa/pdf_q12_q18/q14_last5_detect_10110.v</x:v>
      </x:c>
      <x:c r="I211" s="15" t="str">
        <x:v>a83e5a8a5d7262dd223ebbf4af2bf4c8434d9701</x:v>
      </x:c>
    </x:row>
    <x:row r="212" ht="54" customHeight="1">
      <x:c r="A212" s="4" t="str">
        <x:v>GoodQuestions</x:v>
      </x:c>
      <x:c r="B212" s="4" t="str">
        <x:v>qa/pdf_q12_q18/q15_start_and_chipselects.v</x:v>
      </x:c>
      <x:c r="C212" s="4" t="str">
        <x:v>RTL</x:v>
      </x:c>
      <x:c r="D212" s="4" t="str">
        <x:v>q15_start_and_chipselects</x:v>
      </x:c>
      <x:c r="E212" s="4" t="str">
        <x:v>clk, rst</x:v>
      </x:c>
      <x:c r="F212" s="4" t="str">
        <x:v>start, cs1, cs2, cs3</x:v>
      </x:c>
      <x:c r="G212" s="4" t="str">
        <x:v>GQ-048</x:v>
      </x:c>
      <x:c r="H212" s="25" t="str">
        <x:v>https://github.com/kapiltrip/GoodQuestions/blob/a83e5a8a5d7262dd223ebbf4af2bf4c8434d9701/qa/pdf_q12_q18/q15_start_and_chipselects.v</x:v>
      </x:c>
      <x:c r="I212" s="4" t="str">
        <x:v>a83e5a8a5d7262dd223ebbf4af2bf4c8434d9701</x:v>
      </x:c>
    </x:row>
    <x:row r="213" ht="54" customHeight="1">
      <x:c r="A213" s="15" t="str">
        <x:v>GoodQuestions</x:v>
      </x:c>
      <x:c r="B213" s="15" t="str">
        <x:v>qa/pdf_q12_q18/q16_sync_debounce_onepulse.v</x:v>
      </x:c>
      <x:c r="C213" s="15" t="str">
        <x:v>RTL</x:v>
      </x:c>
      <x:c r="D213" s="15" t="str">
        <x:v>q16_sync_debounce_onepulse</x:v>
      </x:c>
      <x:c r="E213" s="15" t="str">
        <x:v>clk, rst, async_in</x:v>
      </x:c>
      <x:c r="F213" s="15" t="str">
        <x:v>pulse</x:v>
      </x:c>
      <x:c r="G213" s="15" t="str">
        <x:v>GQ-049</x:v>
      </x:c>
      <x:c r="H213" s="26" t="str">
        <x:v>https://github.com/kapiltrip/GoodQuestions/blob/a83e5a8a5d7262dd223ebbf4af2bf4c8434d9701/qa/pdf_q12_q18/q16_sync_debounce_onepulse.v</x:v>
      </x:c>
      <x:c r="I213" s="15" t="str">
        <x:v>a83e5a8a5d7262dd223ebbf4af2bf4c8434d9701</x:v>
      </x:c>
    </x:row>
    <x:row r="214" ht="54" customHeight="1">
      <x:c r="A214" s="4" t="str">
        <x:v>GoodQuestions</x:v>
      </x:c>
      <x:c r="B214" s="4" t="str">
        <x:v>qa/pdf_q12_q18/q17_gray_counter_methods.v</x:v>
      </x:c>
      <x:c r="C214" s="4" t="str">
        <x:v>RTL</x:v>
      </x:c>
      <x:c r="D214" s="4" t="str">
        <x:v>q17_gray_counter_case_3bit, q17_bin_to_gray, q17_gray_to_bin, q17_gray_counter_xor</x:v>
      </x:c>
      <x:c r="E214" s="4" t="str">
        <x:v>clk, rst, bin, gray</x:v>
      </x:c>
      <x:c r="F214" s="4" t="str">
        <x:v>gray, bin</x:v>
      </x:c>
      <x:c r="G214" s="4" t="str">
        <x:v>GQ-050</x:v>
      </x:c>
      <x:c r="H214" s="25" t="str">
        <x:v>https://github.com/kapiltrip/GoodQuestions/blob/a83e5a8a5d7262dd223ebbf4af2bf4c8434d9701/qa/pdf_q12_q18/q17_gray_counter_methods.v</x:v>
      </x:c>
      <x:c r="I214" s="4" t="str">
        <x:v>a83e5a8a5d7262dd223ebbf4af2bf4c8434d9701</x:v>
      </x:c>
    </x:row>
    <x:row r="215" ht="54" customHeight="1">
      <x:c r="A215" s="15" t="str">
        <x:v>GoodQuestions</x:v>
      </x:c>
      <x:c r="B215" s="15" t="str">
        <x:v>qa/pdf_q12_q18/q18_fifo_sync_dualport.v</x:v>
      </x:c>
      <x:c r="C215" s="15" t="str">
        <x:v>RTL</x:v>
      </x:c>
      <x:c r="D215" s="15" t="str">
        <x:v>dual_port_ram, fifo_sync_dualport</x:v>
      </x:c>
      <x:c r="E215" s="15" t="str">
        <x:v>clk, rst_n, write, write_address, write_data, read_address, push, pop, data_in</x:v>
      </x:c>
      <x:c r="F215" s="15" t="str">
        <x:v>read_data, data_out, fifo_full, fifo_empty</x:v>
      </x:c>
      <x:c r="G215" s="15" t="str">
        <x:v>GQ-016, GQ-017, GQ-018, GQ-019, GQ-020, GQ-021, GQ-022, GQ-023, GQ-024, GQ-025, GQ-026, GQ-027</x:v>
      </x:c>
      <x:c r="H215" s="26" t="str">
        <x:v>https://github.com/kapiltrip/GoodQuestions/blob/a83e5a8a5d7262dd223ebbf4af2bf4c8434d9701/qa/pdf_q12_q18/q18_fifo_sync_dualport.v</x:v>
      </x:c>
      <x:c r="I215" s="15" t="str">
        <x:v>a83e5a8a5d7262dd223ebbf4af2bf4c8434d9701</x:v>
      </x:c>
    </x:row>
    <x:row r="216" ht="54" customHeight="1">
      <x:c r="A216" s="4" t="str">
        <x:v>GoodQuestions</x:v>
      </x:c>
      <x:c r="B216" s="4" t="str">
        <x:v>qa/pdf_q19_q20/q19_divisible_by3_fsm.v</x:v>
      </x:c>
      <x:c r="C216" s="4" t="str">
        <x:v>RTL</x:v>
      </x:c>
      <x:c r="D216" s="4" t="str">
        <x:v>q19_divisible_by3_fsm</x:v>
      </x:c>
      <x:c r="E216" s="4" t="str">
        <x:v>clk, rst, bit_in</x:v>
      </x:c>
      <x:c r="F216" s="4" t="str">
        <x:v>div_by_3</x:v>
      </x:c>
      <x:c r="G216" s="4" t="str">
        <x:v>GQ-031</x:v>
      </x:c>
      <x:c r="H216" s="25" t="str">
        <x:v>https://github.com/kapiltrip/GoodQuestions/blob/a83e5a8a5d7262dd223ebbf4af2bf4c8434d9701/qa/pdf_q19_q20/q19_divisible_by3_fsm.v</x:v>
      </x:c>
      <x:c r="I216" s="4" t="str">
        <x:v>a83e5a8a5d7262dd223ebbf4af2bf4c8434d9701</x:v>
      </x:c>
    </x:row>
    <x:row r="217" ht="54" customHeight="1">
      <x:c r="A217" s="15" t="str">
        <x:v>GoodQuestions</x:v>
      </x:c>
      <x:c r="B217" s="15" t="str">
        <x:v>qa/pdf_q19_q20/q20_fibonacci_enable.v</x:v>
      </x:c>
      <x:c r="C217" s="15" t="str">
        <x:v>RTL</x:v>
      </x:c>
      <x:c r="D217" s="15" t="str">
        <x:v>q20_fibonacci_enable</x:v>
      </x:c>
      <x:c r="E217" s="15" t="str">
        <x:v>clk, rst_n, enable</x:v>
      </x:c>
      <x:c r="F217" s="15" t="str">
        <x:v>sum, cur_num, next_num</x:v>
      </x:c>
      <x:c r="G217" s="15" t="str">
        <x:v>GQ-032</x:v>
      </x:c>
      <x:c r="H217" s="26" t="str">
        <x:v>https://github.com/kapiltrip/GoodQuestions/blob/a83e5a8a5d7262dd223ebbf4af2bf4c8434d9701/qa/pdf_q19_q20/q20_fibonacci_enable.v</x:v>
      </x:c>
      <x:c r="I217" s="15" t="str">
        <x:v>a83e5a8a5d7262dd223ebbf4af2bf4c8434d9701</x:v>
      </x:c>
    </x:row>
    <x:row r="218" ht="54" customHeight="1">
      <x:c r="A218" s="4" t="str">
        <x:v>GoodQuestions</x:v>
      </x:c>
      <x:c r="B218" s="4" t="str">
        <x:v>qa/pdf_q21/q21_max_and_second_max_onecmp.v</x:v>
      </x:c>
      <x:c r="C218" s="4" t="str">
        <x:v>RTL</x:v>
      </x:c>
      <x:c r="D218" s="4" t="str">
        <x:v>q21_max_and_second_max_onecmp</x:v>
      </x:c>
      <x:c r="E218" s="4" t="str">
        <x:v>clk, rst, clear, in_valid, in_data</x:v>
      </x:c>
      <x:c r="F218" s="4" t="str">
        <x:v>in_ready, max1, max2, max1_valid, max2_valid</x:v>
      </x:c>
      <x:c r="G218" s="4" t="str">
        <x:v>GQ-028, GQ-029</x:v>
      </x:c>
      <x:c r="H218" s="25" t="str">
        <x:v>https://github.com/kapiltrip/GoodQuestions/blob/a83e5a8a5d7262dd223ebbf4af2bf4c8434d9701/qa/pdf_q21/q21_max_and_second_max_onecmp.v</x:v>
      </x:c>
      <x:c r="I218" s="4" t="str">
        <x:v>a83e5a8a5d7262dd223ebbf4af2bf4c8434d9701</x:v>
      </x:c>
    </x:row>
    <x:row r="219" ht="54" customHeight="1">
      <x:c r="A219" s="15" t="str">
        <x:v>GoodQuestions</x:v>
      </x:c>
      <x:c r="B219" s="15" t="str">
        <x:v>qa/pdf_q22_q23/q22_time_ticks.v</x:v>
      </x:c>
      <x:c r="C219" s="15" t="str">
        <x:v>RTL</x:v>
      </x:c>
      <x:c r="D219" s="15" t="str">
        <x:v>q22_time_ticks</x:v>
      </x:c>
      <x:c r="E219" s="15" t="str">
        <x:v>clk, rst_n, one_ms_pulse</x:v>
      </x:c>
      <x:c r="F219" s="15" t="str">
        <x:v>second, minute, hour</x:v>
      </x:c>
      <x:c r="G219" s="15" t="str">
        <x:v>GQ-033</x:v>
      </x:c>
      <x:c r="H219" s="26" t="str">
        <x:v>https://github.com/kapiltrip/GoodQuestions/blob/a83e5a8a5d7262dd223ebbf4af2bf4c8434d9701/qa/pdf_q22_q23/q22_time_ticks.v</x:v>
      </x:c>
      <x:c r="I219" s="15" t="str">
        <x:v>a83e5a8a5d7262dd223ebbf4af2bf4c8434d9701</x:v>
      </x:c>
    </x:row>
    <x:row r="220" ht="54" customHeight="1">
      <x:c r="A220" s="4" t="str">
        <x:v>GoodQuestions</x:v>
      </x:c>
      <x:c r="B220" s="4" t="str">
        <x:v>qa/pdf_q22_q23/q23_timing_b_from_a.v</x:v>
      </x:c>
      <x:c r="C220" s="4" t="str">
        <x:v>RTL</x:v>
      </x:c>
      <x:c r="D220" s="4" t="str">
        <x:v>q23_timing_b_from_a</x:v>
      </x:c>
      <x:c r="E220" s="4" t="str">
        <x:v>clk, rst_n, A</x:v>
      </x:c>
      <x:c r="F220" s="4" t="str">
        <x:v>B</x:v>
      </x:c>
      <x:c r="G220" s="4" t="str">
        <x:v>GQ-051</x:v>
      </x:c>
      <x:c r="H220" s="25" t="str">
        <x:v>https://github.com/kapiltrip/GoodQuestions/blob/a83e5a8a5d7262dd223ebbf4af2bf4c8434d9701/qa/pdf_q22_q23/q23_timing_b_from_a.v</x:v>
      </x:c>
      <x:c r="I220" s="4" t="str">
        <x:v>a83e5a8a5d7262dd223ebbf4af2bf4c8434d9701</x:v>
      </x:c>
    </x:row>
    <x:row r="221" ht="54" customHeight="1">
      <x:c r="A221" s="15" t="str">
        <x:v>GoodQuestions</x:v>
      </x:c>
      <x:c r="B221" s="15" t="str">
        <x:v>qa/pdf_q24/q24_fir_5tap.v</x:v>
      </x:c>
      <x:c r="C221" s="15" t="str">
        <x:v>RTL</x:v>
      </x:c>
      <x:c r="D221" s="15" t="str">
        <x:v>q24_fir_5tap</x:v>
      </x:c>
      <x:c r="E221" s="15" t="str">
        <x:v>clk, rst_n, sample_in</x:v>
      </x:c>
      <x:c r="F221" s="15" t="str">
        <x:v>sample_out</x:v>
      </x:c>
      <x:c r="G221" s="15" t="str">
        <x:v>GQ-030</x:v>
      </x:c>
      <x:c r="H221" s="26" t="str">
        <x:v>https://github.com/kapiltrip/GoodQuestions/blob/a83e5a8a5d7262dd223ebbf4af2bf4c8434d9701/qa/pdf_q24/q24_fir_5tap.v</x:v>
      </x:c>
      <x:c r="I221" s="15" t="str">
        <x:v>a83e5a8a5d7262dd223ebbf4af2bf4c8434d9701</x:v>
      </x:c>
    </x:row>
    <x:row r="222" ht="54" customHeight="1">
      <x:c r="A222" s="4" t="str">
        <x:v>GoodQuestions</x:v>
      </x:c>
      <x:c r="B222" s="4" t="str">
        <x:v>qa/pdf_q25_q26/q25_clock_div2.v</x:v>
      </x:c>
      <x:c r="C222" s="4" t="str">
        <x:v>RTL</x:v>
      </x:c>
      <x:c r="D222" s="4" t="str">
        <x:v>q25_clock_div2</x:v>
      </x:c>
      <x:c r="E222" s="4" t="str">
        <x:v>clk, rst_n</x:v>
      </x:c>
      <x:c r="F222" s="4" t="str">
        <x:v>q</x:v>
      </x:c>
      <x:c r="G222" s="4" t="str">
        <x:v>GQ-052</x:v>
      </x:c>
      <x:c r="H222" s="25" t="str">
        <x:v>https://github.com/kapiltrip/GoodQuestions/blob/a83e5a8a5d7262dd223ebbf4af2bf4c8434d9701/qa/pdf_q25_q26/q25_clock_div2.v</x:v>
      </x:c>
      <x:c r="I222" s="4" t="str">
        <x:v>a83e5a8a5d7262dd223ebbf4af2bf4c8434d9701</x:v>
      </x:c>
    </x:row>
    <x:row r="223" ht="54" customHeight="1">
      <x:c r="A223" s="15" t="str">
        <x:v>GoodQuestions</x:v>
      </x:c>
      <x:c r="B223" s="15" t="str">
        <x:v>qa/pdf_q25_q26/q26_clock_div3_duty50.v</x:v>
      </x:c>
      <x:c r="C223" s="15" t="str">
        <x:v>RTL</x:v>
      </x:c>
      <x:c r="D223" s="15" t="str">
        <x:v>q26_clock_div3_duty50</x:v>
      </x:c>
      <x:c r="E223" s="15" t="str">
        <x:v>clk, rst_n</x:v>
      </x:c>
      <x:c r="F223" s="15" t="str">
        <x:v>clk_div3</x:v>
      </x:c>
      <x:c r="G223" s="15" t="str">
        <x:v>GQ-053</x:v>
      </x:c>
      <x:c r="H223" s="26" t="str">
        <x:v>https://github.com/kapiltrip/GoodQuestions/blob/a83e5a8a5d7262dd223ebbf4af2bf4c8434d9701/qa/pdf_q25_q26/q26_clock_div3_duty50.v</x:v>
      </x:c>
      <x:c r="I223" s="15" t="str">
        <x:v>a83e5a8a5d7262dd223ebbf4af2bf4c8434d9701</x:v>
      </x:c>
    </x:row>
    <x:row r="224" ht="54" customHeight="1">
      <x:c r="A224" s="4" t="str">
        <x:v>GoodQuestions</x:v>
      </x:c>
      <x:c r="B224" s="4" t="str">
        <x:v>qa/pdf_q27/q27_clock_div_n.v</x:v>
      </x:c>
      <x:c r="C224" s="4" t="str">
        <x:v>RTL</x:v>
      </x:c>
      <x:c r="D224" s="4" t="str">
        <x:v>clk_div_n</x:v>
      </x:c>
      <x:c r="E224" s="4" t="str">
        <x:v>clk, rst_n</x:v>
      </x:c>
      <x:c r="F224" s="4" t="str">
        <x:v>clk_div</x:v>
      </x:c>
      <x:c r="G224" s="4" t="str">
        <x:v>GQ-054</x:v>
      </x:c>
      <x:c r="H224" s="25" t="str">
        <x:v>https://github.com/kapiltrip/GoodQuestions/blob/a83e5a8a5d7262dd223ebbf4af2bf4c8434d9701/qa/pdf_q27/q27_clock_div_n.v</x:v>
      </x:c>
      <x:c r="I224" s="4" t="str">
        <x:v>a83e5a8a5d7262dd223ebbf4af2bf4c8434d9701</x:v>
      </x:c>
    </x:row>
    <x:row r="225" ht="54" customHeight="1">
      <x:c r="A225" s="15" t="str">
        <x:v>GoodQuestions</x:v>
      </x:c>
      <x:c r="B225" s="15" t="str">
        <x:v>qa/pdf_q27/q27_clock_div_n_duty.v</x:v>
      </x:c>
      <x:c r="C225" s="15" t="str">
        <x:v>RTL</x:v>
      </x:c>
      <x:c r="D225" s="15" t="str">
        <x:v>clk_div_n_duty</x:v>
      </x:c>
      <x:c r="E225" s="15" t="str">
        <x:v>clk, rst_n</x:v>
      </x:c>
      <x:c r="F225" s="15" t="str">
        <x:v>clk_div</x:v>
      </x:c>
      <x:c r="G225" s="15" t="str">
        <x:v>GQ-055</x:v>
      </x:c>
      <x:c r="H225" s="26" t="str">
        <x:v>https://github.com/kapiltrip/GoodQuestions/blob/a83e5a8a5d7262dd223ebbf4af2bf4c8434d9701/qa/pdf_q27/q27_clock_div_n_duty.v</x:v>
      </x:c>
      <x:c r="I225" s="15" t="str">
        <x:v>a83e5a8a5d7262dd223ebbf4af2bf4c8434d9701</x:v>
      </x:c>
    </x:row>
    <x:row r="226" ht="54" customHeight="1">
      <x:c r="A226" s="4" t="str">
        <x:v>GoodQuestions</x:v>
      </x:c>
      <x:c r="B226" s="4" t="str">
        <x:v>qa/pdf_q27/q27_clock_divider_variants.v</x:v>
      </x:c>
      <x:c r="C226" s="4" t="str">
        <x:v>RTL</x:v>
      </x:c>
      <x:c r="D226" s="4" t="str">
        <x:v>q27_div2_toggle, q27_div4_counter, q27_div8_counter, q27_div3_duty50, q27_divn_tick</x:v>
      </x:c>
      <x:c r="E226" s="4" t="str">
        <x:v>clk, rst_n, enable</x:v>
      </x:c>
      <x:c r="F226" s="4" t="str">
        <x:v>clk_div2, clk_div4, clk_div8, clk_div3, tick</x:v>
      </x:c>
      <x:c r="G226" s="4" t="str">
        <x:v>GQ-056</x:v>
      </x:c>
      <x:c r="H226" s="25" t="str">
        <x:v>https://github.com/kapiltrip/GoodQuestions/blob/a83e5a8a5d7262dd223ebbf4af2bf4c8434d9701/qa/pdf_q27/q27_clock_divider_variants.v</x:v>
      </x:c>
      <x:c r="I226" s="4" t="str">
        <x:v>a83e5a8a5d7262dd223ebbf4af2bf4c8434d9701</x:v>
      </x:c>
    </x:row>
    <x:row r="227" ht="54" customHeight="1">
      <x:c r="A227" s="15" t="str">
        <x:v>GoodQuestions</x:v>
      </x:c>
      <x:c r="B227" s="15" t="str">
        <x:v>qa/pdf_q28_q30/q28_glitch_free_clock_gate.v</x:v>
      </x:c>
      <x:c r="C227" s="15" t="str">
        <x:v>RTL</x:v>
      </x:c>
      <x:c r="D227" s="15" t="str">
        <x:v>q28_glitch_free_clock_gate</x:v>
      </x:c>
      <x:c r="E227" s="15" t="str">
        <x:v>clk_in, enable</x:v>
      </x:c>
      <x:c r="F227" s="15" t="str">
        <x:v>gated_clk</x:v>
      </x:c>
      <x:c r="G227" s="15" t="str">
        <x:v>GQ-035</x:v>
      </x:c>
      <x:c r="H227" s="26" t="str">
        <x:v>https://github.com/kapiltrip/GoodQuestions/blob/a83e5a8a5d7262dd223ebbf4af2bf4c8434d9701/qa/pdf_q28_q30/q28_glitch_free_clock_gate.v</x:v>
      </x:c>
      <x:c r="I227" s="15" t="str">
        <x:v>a83e5a8a5d7262dd223ebbf4af2bf4c8434d9701</x:v>
      </x:c>
    </x:row>
    <x:row r="228" ht="54" customHeight="1">
      <x:c r="A228" s="4" t="str">
        <x:v>GoodQuestions</x:v>
      </x:c>
      <x:c r="B228" s="4" t="str">
        <x:v>qa/pdf_q28_q30/q29_async_rise_detect_when_clocks_off.v</x:v>
      </x:c>
      <x:c r="C228" s="4" t="str">
        <x:v>RTL</x:v>
      </x:c>
      <x:c r="D228" s="4" t="str">
        <x:v>q29_async_rise_detect_when_clocks_off, q29_async_any_edge_detect_when_clocks_off</x:v>
      </x:c>
      <x:c r="E228" s="4" t="str">
        <x:v>d_async, clr_n</x:v>
      </x:c>
      <x:c r="F228" s="4" t="str">
        <x:v>q</x:v>
      </x:c>
      <x:c r="G228" s="4" t="str">
        <x:v>GQ-057</x:v>
      </x:c>
      <x:c r="H228" s="25" t="str">
        <x:v>https://github.com/kapiltrip/GoodQuestions/blob/a83e5a8a5d7262dd223ebbf4af2bf4c8434d9701/qa/pdf_q28_q30/q29_async_rise_detect_when_clocks_off.v</x:v>
      </x:c>
      <x:c r="I228" s="4" t="str">
        <x:v>a83e5a8a5d7262dd223ebbf4af2bf4c8434d9701</x:v>
      </x:c>
    </x:row>
    <x:row r="229" ht="54" customHeight="1">
      <x:c r="A229" s="15" t="str">
        <x:v>GoodQuestions</x:v>
      </x:c>
      <x:c r="B229" s="15" t="str">
        <x:v>qa/pdf_q28_q30/q30_reset_synchronizer.v</x:v>
      </x:c>
      <x:c r="C229" s="15" t="str">
        <x:v>RTL</x:v>
      </x:c>
      <x:c r="D229" s="15" t="str">
        <x:v>q30_reset_synchronizer</x:v>
      </x:c>
      <x:c r="E229" s="15" t="str">
        <x:v>clk, rst_n</x:v>
      </x:c>
      <x:c r="F229" s="15" t="str">
        <x:v>local_reset_n</x:v>
      </x:c>
      <x:c r="G229" s="15" t="str">
        <x:v>GQ-034</x:v>
      </x:c>
      <x:c r="H229" s="26" t="str">
        <x:v>https://github.com/kapiltrip/GoodQuestions/blob/a83e5a8a5d7262dd223ebbf4af2bf4c8434d9701/qa/pdf_q28_q30/q30_reset_synchronizer.v</x:v>
      </x:c>
      <x:c r="I229" s="15" t="str">
        <x:v>a83e5a8a5d7262dd223ebbf4af2bf4c8434d9701</x:v>
      </x:c>
    </x:row>
    <x:row r="230" ht="54" customHeight="1">
      <x:c r="A230" s="4" t="str">
        <x:v>GoodQuestions</x:v>
      </x:c>
      <x:c r="B230" s="4" t="str">
        <x:v>qa/pdf_q31/q31_async_fifo_grayptr.v</x:v>
      </x:c>
      <x:c r="C230" s="4" t="str">
        <x:v>RTL</x:v>
      </x:c>
      <x:c r="D230" s="4" t="str">
        <x:v>asyncFifo</x:v>
      </x:c>
      <x:c r="E230" s="4" t="str">
        <x:v>rdclk, wrclk, rdrst, wrrst, rden, wren, din</x:v>
      </x:c>
      <x:c r="F230" s="4" t="str">
        <x:v>dout, empty, full</x:v>
      </x:c>
      <x:c r="G230" s="4" t="str">
        <x:v>GQ-001, GQ-002, GQ-003, GQ-004, GQ-005, GQ-006, GQ-007, GQ-008, GQ-009, GQ-010, GQ-011, GQ-012, GQ-013, GQ-014, GQ-015</x:v>
      </x:c>
      <x:c r="H230" s="25" t="str">
        <x:v>https://github.com/kapiltrip/GoodQuestions/blob/a83e5a8a5d7262dd223ebbf4af2bf4c8434d9701/qa/pdf_q31/q31_async_fifo_grayptr.v</x:v>
      </x:c>
      <x:c r="I230" s="4" t="str">
        <x:v>a83e5a8a5d7262dd223ebbf4af2bf4c8434d9701</x:v>
      </x:c>
    </x:row>
    <x:row r="231" ht="54" customHeight="1">
      <x:c r="A231" s="15" t="str">
        <x:v>GoodQuestions</x:v>
      </x:c>
      <x:c r="B231" s="15" t="str">
        <x:v>qa/pdf_q44/q44_div3_gray_fsm.v</x:v>
      </x:c>
      <x:c r="C231" s="15" t="str">
        <x:v>RTL</x:v>
      </x:c>
      <x:c r="D231" s="15" t="str">
        <x:v>q44_div3_fsm_binary, q44_div3_fsm_gray6, q44_div3_fsm_gray6_equations</x:v>
      </x:c>
      <x:c r="E231" s="15" t="str">
        <x:v>clk, rst_n</x:v>
      </x:c>
      <x:c r="F231" s="15" t="str">
        <x:v>div3_out, state</x:v>
      </x:c>
      <x:c r="G231" s="15" t="str">
        <x:v>GQ-058</x:v>
      </x:c>
      <x:c r="H231" s="26" t="str">
        <x:v>https://github.com/kapiltrip/GoodQuestions/blob/a83e5a8a5d7262dd223ebbf4af2bf4c8434d9701/qa/pdf_q44/q44_div3_gray_fsm.v</x:v>
      </x:c>
      <x:c r="I231" s="15" t="str">
        <x:v>a83e5a8a5d7262dd223ebbf4af2bf4c8434d9701</x:v>
      </x:c>
    </x:row>
    <x:row r="232" ht="110" customHeight="1">
      <x:c r="A232" s="4" t="str">
        <x:v>GoodQuestions</x:v>
      </x:c>
      <x:c r="B232" s="4" t="str">
        <x:v>qa/pdf_q45/q45_adders.v</x:v>
      </x:c>
      <x:c r="C232" s="4" t="str">
        <x:v>RTL</x:v>
      </x:c>
      <x:c r="D232" s="4" t="str">
        <x:v>q45_half_adder, q45_full_adder_two_half_adders, q45_full_adder_boolean, q45_full_adder_majority_carry, q45_ripple_adder4, q45_adder4_behavioral, q45_half_subtractor, q45_full_subtractor_two_half_subtractors, q45_full_subtractor_boolean, q45_ripple_subtractor4, q45_subtractor4_behavioral</x:v>
      </x:c>
      <x:c r="E232" s="4" t="str">
        <x:v>a, b, cin, bin</x:v>
      </x:c>
      <x:c r="F232" s="4" t="str">
        <x:v>sum, carry, cout, diff, borrow, bout</x:v>
      </x:c>
      <x:c r="G232" s="4" t="str">
        <x:v>GQ-059</x:v>
      </x:c>
      <x:c r="H232" s="25" t="str">
        <x:v>https://github.com/kapiltrip/GoodQuestions/blob/a83e5a8a5d7262dd223ebbf4af2bf4c8434d9701/qa/pdf_q45/q45_adders.v</x:v>
      </x:c>
      <x:c r="I232" s="4" t="str">
        <x:v>a83e5a8a5d7262dd223ebbf4af2bf4c8434d9701</x:v>
      </x:c>
    </x:row>
    <x:row r="233" ht="68" customHeight="1">
      <x:c r="A233" s="15" t="str">
        <x:v>GoodQuestions</x:v>
      </x:c>
      <x:c r="B233" s="15" t="str">
        <x:v>qa/pdf_q46/q46_gates_using_mux2.v</x:v>
      </x:c>
      <x:c r="C233" s="15" t="str">
        <x:v>RTL</x:v>
      </x:c>
      <x:c r="D233" s="15" t="str">
        <x:v>q46_mux2, q46_inv_using_mux2, q46_and_using_mux2, q46_or_using_mux2, q46_nand_using_mux2, q46_nor_using_mux2, q46_xor_using_mux2, q46_xnor_using_mux2</x:v>
      </x:c>
      <x:c r="E233" s="15" t="str">
        <x:v>d0, d1, s, a, b</x:v>
      </x:c>
      <x:c r="F233" s="15" t="str">
        <x:v>y</x:v>
      </x:c>
      <x:c r="G233" s="15" t="str">
        <x:v>GQ-060</x:v>
      </x:c>
      <x:c r="H233" s="26" t="str">
        <x:v>https://github.com/kapiltrip/GoodQuestions/blob/a83e5a8a5d7262dd223ebbf4af2bf4c8434d9701/qa/pdf_q46/q46_gates_using_mux2.v</x:v>
      </x:c>
      <x:c r="I233" s="15" t="str">
        <x:v>a83e5a8a5d7262dd223ebbf4af2bf4c8434d9701</x:v>
      </x:c>
    </x:row>
    <x:row r="234" ht="54" customHeight="1">
      <x:c r="A234" s="4" t="str">
        <x:v>GoodQuestions</x:v>
      </x:c>
      <x:c r="B234" s="4" t="str">
        <x:v>qa/pdf_q47/q47_xor_controlled_inverter.v</x:v>
      </x:c>
      <x:c r="C234" s="4" t="str">
        <x:v>RTL</x:v>
      </x:c>
      <x:c r="D234" s="4" t="str">
        <x:v>q47_xor_controlled_inverter, q47_xnor_controlled_buffer, q47_add_sub_4bit</x:v>
      </x:c>
      <x:c r="E234" s="4" t="str">
        <x:v>a, control, b, subtract</x:v>
      </x:c>
      <x:c r="F234" s="4" t="str">
        <x:v>y, result, cout</x:v>
      </x:c>
      <x:c r="G234" s="4" t="str">
        <x:v>GQ-061</x:v>
      </x:c>
      <x:c r="H234" s="25" t="str">
        <x:v>https://github.com/kapiltrip/GoodQuestions/blob/a83e5a8a5d7262dd223ebbf4af2bf4c8434d9701/qa/pdf_q47/q47_xor_controlled_inverter.v</x:v>
      </x:c>
      <x:c r="I234" s="4" t="str">
        <x:v>a83e5a8a5d7262dd223ebbf4af2bf4c8434d9701</x:v>
      </x:c>
    </x:row>
    <x:row r="235" ht="54" customHeight="1">
      <x:c r="A235" s="15" t="str">
        <x:v>GoodQuestions</x:v>
      </x:c>
      <x:c r="B235" s="15" t="str">
        <x:v>qa/pdf_q48/q48_gates_using_nand.v</x:v>
      </x:c>
      <x:c r="C235" s="15" t="str">
        <x:v>RTL</x:v>
      </x:c>
      <x:c r="D235" s="15" t="str">
        <x:v>q48_inv_using_nand, q48_and_using_nand, q48_or_using_nand, q48_xor_using_nand, q48_nor_using_nand</x:v>
      </x:c>
      <x:c r="E235" s="15" t="str">
        <x:v>a, b</x:v>
      </x:c>
      <x:c r="F235" s="15" t="str">
        <x:v>y</x:v>
      </x:c>
      <x:c r="G235" s="15" t="str">
        <x:v>GQ-062</x:v>
      </x:c>
      <x:c r="H235" s="26" t="str">
        <x:v>https://github.com/kapiltrip/GoodQuestions/blob/a83e5a8a5d7262dd223ebbf4af2bf4c8434d9701/qa/pdf_q48/q48_gates_using_nand.v</x:v>
      </x:c>
      <x:c r="I235" s="15" t="str">
        <x:v>a83e5a8a5d7262dd223ebbf4af2bf4c8434d9701</x:v>
      </x:c>
    </x:row>
    <x:row r="236" ht="54" customHeight="1">
      <x:c r="A236" s="4" t="str">
        <x:v>GoodQuestions</x:v>
      </x:c>
      <x:c r="B236" s="4" t="str">
        <x:v>qa/pdf_q49/q49_mux4_from_mux2.v</x:v>
      </x:c>
      <x:c r="C236" s="4" t="str">
        <x:v>RTL</x:v>
      </x:c>
      <x:c r="D236" s="4" t="str">
        <x:v>q49_mux2, q49_mux4_from_mux2, q49_mux4_boolean, q49_mux4_from_mux2_bus</x:v>
      </x:c>
      <x:c r="E236" s="4" t="str">
        <x:v>d0, d1, s, a, b, c, d, s0, s1</x:v>
      </x:c>
      <x:c r="F236" s="4" t="str">
        <x:v>y</x:v>
      </x:c>
      <x:c r="G236" s="4" t="str">
        <x:v>GQ-063</x:v>
      </x:c>
      <x:c r="H236" s="25" t="str">
        <x:v>https://github.com/kapiltrip/GoodQuestions/blob/a83e5a8a5d7262dd223ebbf4af2bf4c8434d9701/qa/pdf_q49/q49_mux4_from_mux2.v</x:v>
      </x:c>
      <x:c r="I236" s="4" t="str">
        <x:v>a83e5a8a5d7262dd223ebbf4af2bf4c8434d9701</x:v>
      </x:c>
    </x:row>
    <x:row r="237" ht="54" customHeight="1">
      <x:c r="A237" s="15" t="str">
        <x:v>GoodQuestions</x:v>
      </x:c>
      <x:c r="B237" s="15" t="str">
        <x:v>qa/q01_mux/mux2_behavioral.v</x:v>
      </x:c>
      <x:c r="C237" s="15" t="str">
        <x:v>RTL</x:v>
      </x:c>
      <x:c r="D237" s="15" t="str">
        <x:v>mux2_behavioral</x:v>
      </x:c>
      <x:c r="E237" s="15" t="str">
        <x:v>a, b, sel</x:v>
      </x:c>
      <x:c r="F237" s="15" t="str">
        <x:v>y</x:v>
      </x:c>
      <x:c r="G237" s="15" t="str">
        <x:v>GQ-064</x:v>
      </x:c>
      <x:c r="H237" s="26" t="str">
        <x:v>https://github.com/kapiltrip/GoodQuestions/blob/a83e5a8a5d7262dd223ebbf4af2bf4c8434d9701/qa/q01_mux/mux2_behavioral.v</x:v>
      </x:c>
      <x:c r="I237" s="15" t="str">
        <x:v>a83e5a8a5d7262dd223ebbf4af2bf4c8434d9701</x:v>
      </x:c>
    </x:row>
    <x:row r="238" ht="54" customHeight="1">
      <x:c r="A238" s="4" t="str">
        <x:v>GoodQuestions</x:v>
      </x:c>
      <x:c r="B238" s="4" t="str">
        <x:v>qa/q01_mux/mux2_dataflow.v</x:v>
      </x:c>
      <x:c r="C238" s="4" t="str">
        <x:v>RTL</x:v>
      </x:c>
      <x:c r="D238" s="4" t="str">
        <x:v>mux2_dataflow</x:v>
      </x:c>
      <x:c r="E238" s="4" t="str">
        <x:v>a, b, sel</x:v>
      </x:c>
      <x:c r="F238" s="4" t="str">
        <x:v>y</x:v>
      </x:c>
      <x:c r="G238" s="4" t="str">
        <x:v>GQ-065</x:v>
      </x:c>
      <x:c r="H238" s="25" t="str">
        <x:v>https://github.com/kapiltrip/GoodQuestions/blob/a83e5a8a5d7262dd223ebbf4af2bf4c8434d9701/qa/q01_mux/mux2_dataflow.v</x:v>
      </x:c>
      <x:c r="I238" s="4" t="str">
        <x:v>a83e5a8a5d7262dd223ebbf4af2bf4c8434d9701</x:v>
      </x:c>
    </x:row>
    <x:row r="239" ht="54" customHeight="1">
      <x:c r="A239" s="15" t="str">
        <x:v>GoodQuestions</x:v>
      </x:c>
      <x:c r="B239" s="15" t="str">
        <x:v>qa/q01_mux/mux2_gatelevel.v</x:v>
      </x:c>
      <x:c r="C239" s="15" t="str">
        <x:v>RTL</x:v>
      </x:c>
      <x:c r="D239" s="15" t="str">
        <x:v>mux2_gatelevel</x:v>
      </x:c>
      <x:c r="E239" s="15" t="str">
        <x:v>a, b, sel</x:v>
      </x:c>
      <x:c r="F239" s="15" t="str">
        <x:v>y</x:v>
      </x:c>
      <x:c r="G239" s="15" t="str">
        <x:v>GQ-066</x:v>
      </x:c>
      <x:c r="H239" s="26" t="str">
        <x:v>https://github.com/kapiltrip/GoodQuestions/blob/a83e5a8a5d7262dd223ebbf4af2bf4c8434d9701/qa/q01_mux/mux2_gatelevel.v</x:v>
      </x:c>
      <x:c r="I239" s="15" t="str">
        <x:v>a83e5a8a5d7262dd223ebbf4af2bf4c8434d9701</x:v>
      </x:c>
    </x:row>
    <x:row r="240" ht="54" customHeight="1">
      <x:c r="A240" s="4" t="str">
        <x:v>GoodQuestions</x:v>
      </x:c>
      <x:c r="B240" s="4" t="str">
        <x:v>qa/q02_ff/dff_async_reset.v</x:v>
      </x:c>
      <x:c r="C240" s="4" t="str">
        <x:v>RTL</x:v>
      </x:c>
      <x:c r="D240" s="4" t="str">
        <x:v>dff_async_reset</x:v>
      </x:c>
      <x:c r="E240" s="4" t="str">
        <x:v>clk, rst, d</x:v>
      </x:c>
      <x:c r="F240" s="4" t="str">
        <x:v>q</x:v>
      </x:c>
      <x:c r="G240" s="4" t="str">
        <x:v>GQ-067</x:v>
      </x:c>
      <x:c r="H240" s="25" t="str">
        <x:v>https://github.com/kapiltrip/GoodQuestions/blob/a83e5a8a5d7262dd223ebbf4af2bf4c8434d9701/qa/q02_ff/dff_async_reset.v</x:v>
      </x:c>
      <x:c r="I240" s="4" t="str">
        <x:v>a83e5a8a5d7262dd223ebbf4af2bf4c8434d9701</x:v>
      </x:c>
    </x:row>
    <x:row r="241" ht="54" customHeight="1">
      <x:c r="A241" s="15" t="str">
        <x:v>GoodQuestions</x:v>
      </x:c>
      <x:c r="B241" s="15" t="str">
        <x:v>qa/q02_ff/dff_sync_reset.v</x:v>
      </x:c>
      <x:c r="C241" s="15" t="str">
        <x:v>RTL</x:v>
      </x:c>
      <x:c r="D241" s="15" t="str">
        <x:v>dff_sync_reset</x:v>
      </x:c>
      <x:c r="E241" s="15" t="str">
        <x:v>clk, rst, d</x:v>
      </x:c>
      <x:c r="F241" s="15" t="str">
        <x:v>q</x:v>
      </x:c>
      <x:c r="G241" s="15" t="str">
        <x:v>GQ-068</x:v>
      </x:c>
      <x:c r="H241" s="26" t="str">
        <x:v>https://github.com/kapiltrip/GoodQuestions/blob/a83e5a8a5d7262dd223ebbf4af2bf4c8434d9701/qa/q02_ff/dff_sync_reset.v</x:v>
      </x:c>
      <x:c r="I241" s="15" t="str">
        <x:v>a83e5a8a5d7262dd223ebbf4af2bf4c8434d9701</x:v>
      </x:c>
    </x:row>
    <x:row r="242" ht="54" customHeight="1">
      <x:c r="A242" s="4" t="str">
        <x:v>GoodQuestions</x:v>
      </x:c>
      <x:c r="B242" s="4" t="str">
        <x:v>qa/q03_edge_detect/edge_detect_both.v</x:v>
      </x:c>
      <x:c r="C242" s="4" t="str">
        <x:v>RTL</x:v>
      </x:c>
      <x:c r="D242" s="4" t="str">
        <x:v>edge_detect_both, edge_detect_both_async_d</x:v>
      </x:c>
      <x:c r="E242" s="4" t="str">
        <x:v>clk, rst, d</x:v>
      </x:c>
      <x:c r="F242" s="4" t="str">
        <x:v>q</x:v>
      </x:c>
      <x:c r="G242" s="4" t="str">
        <x:v>GQ-069</x:v>
      </x:c>
      <x:c r="H242" s="25" t="str">
        <x:v>https://github.com/kapiltrip/GoodQuestions/blob/a83e5a8a5d7262dd223ebbf4af2bf4c8434d9701/qa/q03_edge_detect/edge_detect_both.v</x:v>
      </x:c>
      <x:c r="I242" s="4" t="str">
        <x:v>a83e5a8a5d7262dd223ebbf4af2bf4c8434d9701</x:v>
      </x:c>
    </x:row>
    <x:row r="243" ht="54" customHeight="1">
      <x:c r="A243" s="15" t="str">
        <x:v>GoodQuestions</x:v>
      </x:c>
      <x:c r="B243" s="15" t="str">
        <x:v>qa/q04_rise_pulse/edge_to_1cycle_pulse.v</x:v>
      </x:c>
      <x:c r="C243" s="15" t="str">
        <x:v>RTL</x:v>
      </x:c>
      <x:c r="D243" s="15" t="str">
        <x:v>edge_to_1cycle_pulse</x:v>
      </x:c>
      <x:c r="E243" s="15" t="str">
        <x:v>clk, rst_n, d</x:v>
      </x:c>
      <x:c r="F243" s="15" t="str">
        <x:v>q</x:v>
      </x:c>
      <x:c r="G243" s="15" t="str">
        <x:v>GQ-070</x:v>
      </x:c>
      <x:c r="H243" s="26" t="str">
        <x:v>https://github.com/kapiltrip/GoodQuestions/blob/a83e5a8a5d7262dd223ebbf4af2bf4c8434d9701/qa/q04_rise_pulse/edge_to_1cycle_pulse.v</x:v>
      </x:c>
      <x:c r="I243" s="15" t="str">
        <x:v>a83e5a8a5d7262dd223ebbf4af2bf4c8434d9701</x:v>
      </x:c>
    </x:row>
    <x:row r="244" ht="54" customHeight="1">
      <x:c r="A244" s="4" t="str">
        <x:v>GoodQuestions</x:v>
      </x:c>
      <x:c r="B244" s="4" t="str">
        <x:v>qa/q05_seq_10110/seq_10110_fsms.v</x:v>
      </x:c>
      <x:c r="C244" s="4" t="str">
        <x:v>RTL</x:v>
      </x:c>
      <x:c r="D244" s="4" t="str">
        <x:v>seq_10110_mealy_overlap, seq_10110_mealy_nonoverlap, seq_10110_moore_overlap, seq_10110_moore_nonoverlap</x:v>
      </x:c>
      <x:c r="E244" s="4" t="str">
        <x:v>clk, rst_n, x</x:v>
      </x:c>
      <x:c r="F244" s="4" t="str">
        <x:v>y</x:v>
      </x:c>
      <x:c r="G244" s="4" t="str">
        <x:v>GQ-071</x:v>
      </x:c>
      <x:c r="H244" s="25" t="str">
        <x:v>https://github.com/kapiltrip/GoodQuestions/blob/a83e5a8a5d7262dd223ebbf4af2bf4c8434d9701/qa/q05_seq_10110/seq_10110_fsms.v</x:v>
      </x:c>
      <x:c r="I244" s="4" t="str">
        <x:v>a83e5a8a5d7262dd223ebbf4af2bf4c8434d9701</x:v>
      </x:c>
    </x:row>
    <x:row r="245" ht="54" customHeight="1">
      <x:c r="A245" s="15" t="str">
        <x:v>GoodQuestions</x:v>
      </x:c>
      <x:c r="B245" s="15" t="str">
        <x:v>qa/q06_detect/detect.v</x:v>
      </x:c>
      <x:c r="C245" s="15" t="str">
        <x:v>RTL</x:v>
      </x:c>
      <x:c r="D245" s="15" t="str">
        <x:v>detect</x:v>
      </x:c>
      <x:c r="E245" s="15" t="str">
        <x:v>clk, rst_n, din</x:v>
      </x:c>
      <x:c r="F245" s="15" t="str">
        <x:v>match</x:v>
      </x:c>
      <x:c r="G245" s="15" t="str">
        <x:v>GQ-072</x:v>
      </x:c>
      <x:c r="H245" s="26" t="str">
        <x:v>https://github.com/kapiltrip/GoodQuestions/blob/a83e5a8a5d7262dd223ebbf4af2bf4c8434d9701/qa/q06_detect/detect.v</x:v>
      </x:c>
      <x:c r="I245" s="15" t="str">
        <x:v>a83e5a8a5d7262dd223ebbf4af2bf4c8434d9701</x:v>
      </x:c>
    </x:row>
    <x:row r="246" ht="54" customHeight="1">
      <x:c r="A246" s="4" t="str">
        <x:v>GoodQuestions</x:v>
      </x:c>
      <x:c r="B246" s="4" t="str">
        <x:v>qa/q07_start_and_chipselects/start_and_chipselects.v</x:v>
      </x:c>
      <x:c r="C246" s="4" t="str">
        <x:v>RTL</x:v>
      </x:c>
      <x:c r="D246" s="4" t="str">
        <x:v>start_and_chipselects</x:v>
      </x:c>
      <x:c r="E246" s="4" t="str">
        <x:v>clk, rst_n</x:v>
      </x:c>
      <x:c r="F246" s="4" t="str">
        <x:v>start, CS1, CS2, CS3</x:v>
      </x:c>
      <x:c r="G246" s="4" t="str">
        <x:v>GQ-073</x:v>
      </x:c>
      <x:c r="H246" s="25" t="str">
        <x:v>https://github.com/kapiltrip/GoodQuestions/blob/a83e5a8a5d7262dd223ebbf4af2bf4c8434d9701/qa/q07_start_and_chipselects/start_and_chipselects.v</x:v>
      </x:c>
      <x:c r="I246" s="4" t="str">
        <x:v>a83e5a8a5d7262dd223ebbf4af2bf4c8434d9701</x:v>
      </x:c>
    </x:row>
    <x:row r="247" ht="54" customHeight="1">
      <x:c r="A247" s="15" t="str">
        <x:v>GoodQuestions</x:v>
      </x:c>
      <x:c r="B247" s="15" t="str">
        <x:v>qa/q08_sync_debounce_onepulse/sync_debounce_onepulse.v</x:v>
      </x:c>
      <x:c r="C247" s="15" t="str">
        <x:v>RTL</x:v>
      </x:c>
      <x:c r="D247" s="15" t="str">
        <x:v>sync_debounce_onepulse</x:v>
      </x:c>
      <x:c r="E247" s="15" t="str">
        <x:v>clk, rst_n, async_in</x:v>
      </x:c>
      <x:c r="F247" s="15" t="str">
        <x:v>pulse</x:v>
      </x:c>
      <x:c r="G247" s="15" t="str">
        <x:v>GQ-074</x:v>
      </x:c>
      <x:c r="H247" s="26" t="str">
        <x:v>https://github.com/kapiltrip/GoodQuestions/blob/a83e5a8a5d7262dd223ebbf4af2bf4c8434d9701/qa/q08_sync_debounce_onepulse/sync_debounce_onepulse.v</x:v>
      </x:c>
      <x:c r="I247" s="15" t="str">
        <x:v>a83e5a8a5d7262dd223ebbf4af2bf4c8434d9701</x:v>
      </x:c>
    </x:row>
    <x:row r="248" ht="54" customHeight="1">
      <x:c r="A248" s="4" t="str">
        <x:v>GoodQuestions</x:v>
      </x:c>
      <x:c r="B248" s="4" t="str">
        <x:v>qa/q09_gray/gray_blocks.v</x:v>
      </x:c>
      <x:c r="C248" s="4" t="str">
        <x:v>RTL</x:v>
      </x:c>
      <x:c r="D248" s="4" t="str">
        <x:v>bin_counter_gray_out, bin_to_gray, gray_to_bin, gray_counter_store_gray</x:v>
      </x:c>
      <x:c r="E248" s="4" t="str">
        <x:v>clk, rst_n, bin, gray</x:v>
      </x:c>
      <x:c r="F248" s="4" t="str">
        <x:v>gray, bin, gray_q, bin_q</x:v>
      </x:c>
      <x:c r="G248" s="4" t="str">
        <x:v>GQ-075</x:v>
      </x:c>
      <x:c r="H248" s="25" t="str">
        <x:v>https://github.com/kapiltrip/GoodQuestions/blob/a83e5a8a5d7262dd223ebbf4af2bf4c8434d9701/qa/q09_gray/gray_blocks.v</x:v>
      </x:c>
      <x:c r="I248" s="4" t="str">
        <x:v>a83e5a8a5d7262dd223ebbf4af2bf4c8434d9701</x:v>
      </x:c>
    </x:row>
    <x:row r="249" ht="54" customHeight="1">
      <x:c r="A249" s="15" t="str">
        <x:v>GoodQuestions</x:v>
      </x:c>
      <x:c r="B249" s="15" t="str">
        <x:v>study_plan/practice/video_04_gate_level_modeling_practice.v</x:v>
      </x:c>
      <x:c r="C249" s="15" t="str">
        <x:v>Practice draft</x:v>
      </x:c>
      <x:c r="D249" s="15" t="str">
        <x:v>ha, fullAdder</x:v>
      </x:c>
      <x:c r="E249" s="15" t="str">
        <x:v>a, b, cin</x:v>
      </x:c>
      <x:c r="F249" s="15" t="str">
        <x:v>sum, carry, cout</x:v>
      </x:c>
      <x:c r="G249" s="15" t="str">
        <x:v>GQ-076</x:v>
      </x:c>
      <x:c r="H249" s="26" t="str">
        <x:v>https://github.com/kapiltrip/GoodQuestions/blob/a83e5a8a5d7262dd223ebbf4af2bf4c8434d9701/study_plan/practice/video_04_gate_level_modeling_practice.v</x:v>
      </x:c>
      <x:c r="I249" s="15" t="str">
        <x:v>a83e5a8a5d7262dd223ebbf4af2bf4c8434d9701</x:v>
      </x:c>
    </x:row>
    <x:row r="250" ht="54" customHeight="1">
      <x:c r="A250" s="4" t="str">
        <x:v>GoodQuestions</x:v>
      </x:c>
      <x:c r="B250" s="4" t="str">
        <x:v>study_plan/practice/video_05_full_adder_using_half_adder_practice.v</x:v>
      </x:c>
      <x:c r="C250" s="4" t="str">
        <x:v>Practice draft</x:v>
      </x:c>
      <x:c r="D250" s="4" t="str">
        <x:v>fullAdderUsingHalfAdder, ha, halfSub, fullSub, fsUsingHs</x:v>
      </x:c>
      <x:c r="E250" s="4" t="str">
        <x:v>a, b, cin, bin</x:v>
      </x:c>
      <x:c r="F250" s="4" t="str">
        <x:v>sum, cout, diff, borrow, bout</x:v>
      </x:c>
      <x:c r="G250" s="4" t="str">
        <x:v>GQ-077</x:v>
      </x:c>
      <x:c r="H250" s="25" t="str">
        <x:v>https://github.com/kapiltrip/GoodQuestions/blob/a83e5a8a5d7262dd223ebbf4af2bf4c8434d9701/study_plan/practice/video_05_full_adder_using_half_adder_practice.v</x:v>
      </x:c>
      <x:c r="I250" s="4" t="str">
        <x:v>a83e5a8a5d7262dd223ebbf4af2bf4c8434d9701</x:v>
      </x:c>
    </x:row>
    <x:row r="251" ht="54" customHeight="1">
      <x:c r="A251" s="15" t="str">
        <x:v>GoodQuestions</x:v>
      </x:c>
      <x:c r="B251" s="15" t="str">
        <x:v>study_plan/practice/video_06_bcd_ripple_carry_adder_practice.v</x:v>
      </x:c>
      <x:c r="C251" s="15" t="str">
        <x:v>Practice draft</x:v>
      </x:c>
      <x:c r="D251" s="15" t="str">
        <x:v>fullAdder, ripplyCarryAdder</x:v>
      </x:c>
      <x:c r="E251" s="15" t="str">
        <x:v>a, b, cin</x:v>
      </x:c>
      <x:c r="F251" s="15" t="str">
        <x:v>sum, cout</x:v>
      </x:c>
      <x:c r="G251" s="15" t="str">
        <x:v>GQ-078</x:v>
      </x:c>
      <x:c r="H251" s="26" t="str">
        <x:v>https://github.com/kapiltrip/GoodQuestions/blob/a83e5a8a5d7262dd223ebbf4af2bf4c8434d9701/study_plan/practice/video_06_bcd_ripple_carry_adder_practice.v</x:v>
      </x:c>
      <x:c r="I251" s="15" t="str">
        <x:v>a83e5a8a5d7262dd223ebbf4af2bf4c8434d9701</x:v>
      </x:c>
    </x:row>
    <x:row r="252" ht="54" customHeight="1">
      <x:c r="A252" s="4" t="str">
        <x:v>GoodQuestions</x:v>
      </x:c>
      <x:c r="B252" s="4" t="str">
        <x:v>study_plan/practice/video_07_2bit_comparator_gate_level_practice.v</x:v>
      </x:c>
      <x:c r="C252" s="4" t="str">
        <x:v>Verification example</x:v>
      </x:c>
      <x:c r="D252" s="4" t="str">
        <x:v>(incomplete/no module)</x:v>
      </x:c>
      <x:c r="E252" s="4" t="str"/>
      <x:c r="F252" s="4" t="str"/>
      <x:c r="G252" s="4" t="str">
        <x:v>Supporting evidence only; map assertions to case IDs before claiming coverage.</x:v>
      </x:c>
      <x:c r="H252" s="25" t="str">
        <x:v>https://github.com/kapiltrip/GoodQuestions/blob/a83e5a8a5d7262dd223ebbf4af2bf4c8434d9701/study_plan/practice/video_07_2bit_comparator_gate_level_practice.v</x:v>
      </x:c>
      <x:c r="I252" s="4" t="str">
        <x:v>a83e5a8a5d7262dd223ebbf4af2bf4c8434d9701</x:v>
      </x:c>
    </x:row>
    <x:row r="253" ht="54" customHeight="1">
      <x:c r="A253" s="15" t="str">
        <x:v>GoodQuestions</x:v>
      </x:c>
      <x:c r="B253" s="15" t="str">
        <x:v>study_plan/practice/video_08_behavioral_modeling_practice.v</x:v>
      </x:c>
      <x:c r="C253" s="15" t="str">
        <x:v>Verification example</x:v>
      </x:c>
      <x:c r="D253" s="15" t="str">
        <x:v>(incomplete/no module)</x:v>
      </x:c>
      <x:c r="E253" s="15" t="str"/>
      <x:c r="F253" s="15" t="str"/>
      <x:c r="G253" s="15" t="str">
        <x:v>Supporting evidence only; map assertions to case IDs before claiming coverage.</x:v>
      </x:c>
      <x:c r="H253" s="26" t="str">
        <x:v>https://github.com/kapiltrip/GoodQuestions/blob/a83e5a8a5d7262dd223ebbf4af2bf4c8434d9701/study_plan/practice/video_08_behavioral_modeling_practice.v</x:v>
      </x:c>
      <x:c r="I253" s="15" t="str">
        <x:v>a83e5a8a5d7262dd223ebbf4af2bf4c8434d9701</x:v>
      </x:c>
    </x:row>
    <x:row r="254" ht="54" customHeight="1">
      <x:c r="A254" s="4" t="str">
        <x:v>GoodQuestions</x:v>
      </x:c>
      <x:c r="B254" s="4" t="str">
        <x:v>study_plan/practice/video_09_bitwise_relational_equality_operators_practice.v</x:v>
      </x:c>
      <x:c r="C254" s="4" t="str">
        <x:v>Verification example</x:v>
      </x:c>
      <x:c r="D254" s="4" t="str">
        <x:v>(incomplete/no module)</x:v>
      </x:c>
      <x:c r="E254" s="4" t="str"/>
      <x:c r="F254" s="4" t="str"/>
      <x:c r="G254" s="4" t="str">
        <x:v>Supporting evidence only; map assertions to case IDs before claiming coverage.</x:v>
      </x:c>
      <x:c r="H254" s="25" t="str">
        <x:v>https://github.com/kapiltrip/GoodQuestions/blob/a83e5a8a5d7262dd223ebbf4af2bf4c8434d9701/study_plan/practice/video_09_bitwise_relational_equality_operators_practice.v</x:v>
      </x:c>
      <x:c r="I254" s="4" t="str">
        <x:v>a83e5a8a5d7262dd223ebbf4af2bf4c8434d9701</x:v>
      </x:c>
    </x:row>
    <x:row r="255" ht="54" customHeight="1">
      <x:c r="A255" s="15" t="str">
        <x:v>GoodQuestions</x:v>
      </x:c>
      <x:c r="B255" s="15" t="str">
        <x:v>study_plan/practice/video_10_logical_shift_concatenation_practice.v</x:v>
      </x:c>
      <x:c r="C255" s="15" t="str">
        <x:v>Verification example</x:v>
      </x:c>
      <x:c r="D255" s="15" t="str">
        <x:v>(incomplete/no module)</x:v>
      </x:c>
      <x:c r="E255" s="15" t="str"/>
      <x:c r="F255" s="15" t="str"/>
      <x:c r="G255" s="15" t="str">
        <x:v>Supporting evidence only; map assertions to case IDs before claiming coverage.</x:v>
      </x:c>
      <x:c r="H255" s="26" t="str">
        <x:v>https://github.com/kapiltrip/GoodQuestions/blob/a83e5a8a5d7262dd223ebbf4af2bf4c8434d9701/study_plan/practice/video_10_logical_shift_concatenation_practice.v</x:v>
      </x:c>
      <x:c r="I255" s="15" t="str">
        <x:v>a83e5a8a5d7262dd223ebbf4af2bf4c8434d9701</x:v>
      </x:c>
    </x:row>
    <x:row r="256" ht="54" customHeight="1">
      <x:c r="A256" s="4" t="str">
        <x:v>GoodQuestions</x:v>
      </x:c>
      <x:c r="B256" s="4" t="str">
        <x:v>tb/bi_buf_tb.v</x:v>
      </x:c>
      <x:c r="C256" s="4" t="str">
        <x:v>Existing testbench</x:v>
      </x:c>
      <x:c r="D256" s="4" t="str">
        <x:v>bi_buf_tb</x:v>
      </x:c>
      <x:c r="E256" s="4" t="str">
        <x:v>expected_a, expected_b, test_name</x:v>
      </x:c>
      <x:c r="F256" s="4" t="str"/>
      <x:c r="G256" s="4" t="str">
        <x:v>Supporting evidence only; map assertions to case IDs before claiming coverage.</x:v>
      </x:c>
      <x:c r="H256" s="25" t="str">
        <x:v>https://github.com/kapiltrip/GoodQuestions/blob/a83e5a8a5d7262dd223ebbf4af2bf4c8434d9701/tb/bi_buf_tb.v</x:v>
      </x:c>
      <x:c r="I256" s="4" t="str">
        <x:v>a83e5a8a5d7262dd223ebbf4af2bf4c8434d9701</x:v>
      </x:c>
    </x:row>
    <x:row r="257" ht="54" customHeight="1">
      <x:c r="A257" s="15" t="str">
        <x:v>GoodQuestions</x:v>
      </x:c>
      <x:c r="B257" s="15" t="str">
        <x:v>tb/pdf_q03_tb.v</x:v>
      </x:c>
      <x:c r="C257" s="15" t="str">
        <x:v>Existing testbench</x:v>
      </x:c>
      <x:c r="D257" s="15" t="str">
        <x:v>pdf_q03_tb</x:v>
      </x:c>
      <x:c r="E257" s="15" t="str"/>
      <x:c r="F257" s="15" t="str"/>
      <x:c r="G257" s="15" t="str">
        <x:v>Supporting evidence only; map assertions to case IDs before claiming coverage.</x:v>
      </x:c>
      <x:c r="H257" s="26" t="str">
        <x:v>https://github.com/kapiltrip/GoodQuestions/blob/a83e5a8a5d7262dd223ebbf4af2bf4c8434d9701/tb/pdf_q03_tb.v</x:v>
      </x:c>
      <x:c r="I257" s="15" t="str">
        <x:v>a83e5a8a5d7262dd223ebbf4af2bf4c8434d9701</x:v>
      </x:c>
    </x:row>
    <x:row r="258" ht="54" customHeight="1">
      <x:c r="A258" s="4" t="str">
        <x:v>GoodQuestions</x:v>
      </x:c>
      <x:c r="B258" s="4" t="str">
        <x:v>tb/pdf_q04_tb.v</x:v>
      </x:c>
      <x:c r="C258" s="4" t="str">
        <x:v>Existing testbench</x:v>
      </x:c>
      <x:c r="D258" s="4" t="str">
        <x:v>pdf_q04_tb</x:v>
      </x:c>
      <x:c r="E258" s="4" t="str">
        <x:v>v</x:v>
      </x:c>
      <x:c r="F258" s="4" t="str"/>
      <x:c r="G258" s="4" t="str">
        <x:v>Supporting evidence only; map assertions to case IDs before claiming coverage.</x:v>
      </x:c>
      <x:c r="H258" s="25" t="str">
        <x:v>https://github.com/kapiltrip/GoodQuestions/blob/a83e5a8a5d7262dd223ebbf4af2bf4c8434d9701/tb/pdf_q04_tb.v</x:v>
      </x:c>
      <x:c r="I258" s="4" t="str">
        <x:v>a83e5a8a5d7262dd223ebbf4af2bf4c8434d9701</x:v>
      </x:c>
    </x:row>
    <x:row r="259" ht="54" customHeight="1">
      <x:c r="A259" s="15" t="str">
        <x:v>GoodQuestions</x:v>
      </x:c>
      <x:c r="B259" s="15" t="str">
        <x:v>tb/pdf_q05_tb.v</x:v>
      </x:c>
      <x:c r="C259" s="15" t="str">
        <x:v>Existing testbench</x:v>
      </x:c>
      <x:c r="D259" s="15" t="str">
        <x:v>pdf_q05_tb</x:v>
      </x:c>
      <x:c r="E259" s="15" t="str">
        <x:v>v</x:v>
      </x:c>
      <x:c r="F259" s="15" t="str"/>
      <x:c r="G259" s="15" t="str">
        <x:v>Supporting evidence only; map assertions to case IDs before claiming coverage.</x:v>
      </x:c>
      <x:c r="H259" s="26" t="str">
        <x:v>https://github.com/kapiltrip/GoodQuestions/blob/a83e5a8a5d7262dd223ebbf4af2bf4c8434d9701/tb/pdf_q05_tb.v</x:v>
      </x:c>
      <x:c r="I259" s="15" t="str">
        <x:v>a83e5a8a5d7262dd223ebbf4af2bf4c8434d9701</x:v>
      </x:c>
    </x:row>
    <x:row r="260" ht="54" customHeight="1">
      <x:c r="A260" s="4" t="str">
        <x:v>GoodQuestions</x:v>
      </x:c>
      <x:c r="B260" s="4" t="str">
        <x:v>tb/pdf_q06_tb.v</x:v>
      </x:c>
      <x:c r="C260" s="4" t="str">
        <x:v>Existing testbench</x:v>
      </x:c>
      <x:c r="D260" s="4" t="str">
        <x:v>pdf_q06_tb</x:v>
      </x:c>
      <x:c r="E260" s="4" t="str">
        <x:v>v</x:v>
      </x:c>
      <x:c r="F260" s="4" t="str"/>
      <x:c r="G260" s="4" t="str">
        <x:v>Supporting evidence only; map assertions to case IDs before claiming coverage.</x:v>
      </x:c>
      <x:c r="H260" s="25" t="str">
        <x:v>https://github.com/kapiltrip/GoodQuestions/blob/a83e5a8a5d7262dd223ebbf4af2bf4c8434d9701/tb/pdf_q06_tb.v</x:v>
      </x:c>
      <x:c r="I260" s="4" t="str">
        <x:v>a83e5a8a5d7262dd223ebbf4af2bf4c8434d9701</x:v>
      </x:c>
    </x:row>
    <x:row r="261" ht="54" customHeight="1">
      <x:c r="A261" s="15" t="str">
        <x:v>GoodQuestions</x:v>
      </x:c>
      <x:c r="B261" s="15" t="str">
        <x:v>tb/pdf_q07_tb.v</x:v>
      </x:c>
      <x:c r="C261" s="15" t="str">
        <x:v>Existing testbench</x:v>
      </x:c>
      <x:c r="D261" s="15" t="str">
        <x:v>pdf_q07_tb</x:v>
      </x:c>
      <x:c r="E261" s="15" t="str"/>
      <x:c r="F261" s="15" t="str"/>
      <x:c r="G261" s="15" t="str">
        <x:v>Supporting evidence only; map assertions to case IDs before claiming coverage.</x:v>
      </x:c>
      <x:c r="H261" s="26" t="str">
        <x:v>https://github.com/kapiltrip/GoodQuestions/blob/a83e5a8a5d7262dd223ebbf4af2bf4c8434d9701/tb/pdf_q07_tb.v</x:v>
      </x:c>
      <x:c r="I261" s="15" t="str">
        <x:v>a83e5a8a5d7262dd223ebbf4af2bf4c8434d9701</x:v>
      </x:c>
    </x:row>
    <x:row r="262" ht="54" customHeight="1">
      <x:c r="A262" s="4" t="str">
        <x:v>GoodQuestions</x:v>
      </x:c>
      <x:c r="B262" s="4" t="str">
        <x:v>tb/pdf_q09_tb.v</x:v>
      </x:c>
      <x:c r="C262" s="4" t="str">
        <x:v>Existing testbench</x:v>
      </x:c>
      <x:c r="D262" s="4" t="str">
        <x:v>pdf_q09_tb</x:v>
      </x:c>
      <x:c r="E262" s="4" t="str"/>
      <x:c r="F262" s="4" t="str"/>
      <x:c r="G262" s="4" t="str">
        <x:v>Supporting evidence only; map assertions to case IDs before claiming coverage.</x:v>
      </x:c>
      <x:c r="H262" s="25" t="str">
        <x:v>https://github.com/kapiltrip/GoodQuestions/blob/a83e5a8a5d7262dd223ebbf4af2bf4c8434d9701/tb/pdf_q09_tb.v</x:v>
      </x:c>
      <x:c r="I262" s="4" t="str">
        <x:v>a83e5a8a5d7262dd223ebbf4af2bf4c8434d9701</x:v>
      </x:c>
    </x:row>
    <x:row r="263" ht="54" customHeight="1">
      <x:c r="A263" s="15" t="str">
        <x:v>GoodQuestions</x:v>
      </x:c>
      <x:c r="B263" s="15" t="str">
        <x:v>tb/pdf_q10_tb.v</x:v>
      </x:c>
      <x:c r="C263" s="15" t="str">
        <x:v>Existing testbench</x:v>
      </x:c>
      <x:c r="D263" s="15" t="str">
        <x:v>pdf_q10_tb</x:v>
      </x:c>
      <x:c r="E263" s="15" t="str"/>
      <x:c r="F263" s="15" t="str"/>
      <x:c r="G263" s="15" t="str">
        <x:v>Supporting evidence only; map assertions to case IDs before claiming coverage.</x:v>
      </x:c>
      <x:c r="H263" s="26" t="str">
        <x:v>https://github.com/kapiltrip/GoodQuestions/blob/a83e5a8a5d7262dd223ebbf4af2bf4c8434d9701/tb/pdf_q10_tb.v</x:v>
      </x:c>
      <x:c r="I263" s="15" t="str">
        <x:v>a83e5a8a5d7262dd223ebbf4af2bf4c8434d9701</x:v>
      </x:c>
    </x:row>
    <x:row r="264" ht="54" customHeight="1">
      <x:c r="A264" s="4" t="str">
        <x:v>GoodQuestions</x:v>
      </x:c>
      <x:c r="B264" s="4" t="str">
        <x:v>tb/pdf_q11_tb.v</x:v>
      </x:c>
      <x:c r="C264" s="4" t="str">
        <x:v>Existing testbench</x:v>
      </x:c>
      <x:c r="D264" s="4" t="str">
        <x:v>pdf_q11_tb</x:v>
      </x:c>
      <x:c r="E264" s="4" t="str"/>
      <x:c r="F264" s="4" t="str"/>
      <x:c r="G264" s="4" t="str">
        <x:v>Supporting evidence only; map assertions to case IDs before claiming coverage.</x:v>
      </x:c>
      <x:c r="H264" s="25" t="str">
        <x:v>https://github.com/kapiltrip/GoodQuestions/blob/a83e5a8a5d7262dd223ebbf4af2bf4c8434d9701/tb/pdf_q11_tb.v</x:v>
      </x:c>
      <x:c r="I264" s="4" t="str">
        <x:v>a83e5a8a5d7262dd223ebbf4af2bf4c8434d9701</x:v>
      </x:c>
    </x:row>
    <x:row r="265" ht="54" customHeight="1">
      <x:c r="A265" s="15" t="str">
        <x:v>GoodQuestions</x:v>
      </x:c>
      <x:c r="B265" s="15" t="str">
        <x:v>tb/pdf_q12_tb.v</x:v>
      </x:c>
      <x:c r="C265" s="15" t="str">
        <x:v>Existing testbench</x:v>
      </x:c>
      <x:c r="D265" s="15" t="str">
        <x:v>pdf_q12_tb</x:v>
      </x:c>
      <x:c r="E265" s="15" t="str"/>
      <x:c r="F265" s="15" t="str"/>
      <x:c r="G265" s="15" t="str">
        <x:v>Supporting evidence only; map assertions to case IDs before claiming coverage.</x:v>
      </x:c>
      <x:c r="H265" s="26" t="str">
        <x:v>https://github.com/kapiltrip/GoodQuestions/blob/a83e5a8a5d7262dd223ebbf4af2bf4c8434d9701/tb/pdf_q12_tb.v</x:v>
      </x:c>
      <x:c r="I265" s="15" t="str">
        <x:v>a83e5a8a5d7262dd223ebbf4af2bf4c8434d9701</x:v>
      </x:c>
    </x:row>
    <x:row r="266" ht="54" customHeight="1">
      <x:c r="A266" s="4" t="str">
        <x:v>GoodQuestions</x:v>
      </x:c>
      <x:c r="B266" s="4" t="str">
        <x:v>tb/pdf_q13_tb.v</x:v>
      </x:c>
      <x:c r="C266" s="4" t="str">
        <x:v>Existing testbench</x:v>
      </x:c>
      <x:c r="D266" s="4" t="str">
        <x:v>pdf_q13_tb</x:v>
      </x:c>
      <x:c r="E266" s="4" t="str"/>
      <x:c r="F266" s="4" t="str"/>
      <x:c r="G266" s="4" t="str">
        <x:v>Supporting evidence only; map assertions to case IDs before claiming coverage.</x:v>
      </x:c>
      <x:c r="H266" s="25" t="str">
        <x:v>https://github.com/kapiltrip/GoodQuestions/blob/a83e5a8a5d7262dd223ebbf4af2bf4c8434d9701/tb/pdf_q13_tb.v</x:v>
      </x:c>
      <x:c r="I266" s="4" t="str">
        <x:v>a83e5a8a5d7262dd223ebbf4af2bf4c8434d9701</x:v>
      </x:c>
    </x:row>
    <x:row r="267" ht="54" customHeight="1">
      <x:c r="A267" s="15" t="str">
        <x:v>GoodQuestions</x:v>
      </x:c>
      <x:c r="B267" s="15" t="str">
        <x:v>tb/pdf_q14_tb.v</x:v>
      </x:c>
      <x:c r="C267" s="15" t="str">
        <x:v>Existing testbench</x:v>
      </x:c>
      <x:c r="D267" s="15" t="str">
        <x:v>pdf_q14_tb</x:v>
      </x:c>
      <x:c r="E267" s="15" t="str"/>
      <x:c r="F267" s="15" t="str"/>
      <x:c r="G267" s="15" t="str">
        <x:v>Supporting evidence only; map assertions to case IDs before claiming coverage.</x:v>
      </x:c>
      <x:c r="H267" s="26" t="str">
        <x:v>https://github.com/kapiltrip/GoodQuestions/blob/a83e5a8a5d7262dd223ebbf4af2bf4c8434d9701/tb/pdf_q14_tb.v</x:v>
      </x:c>
      <x:c r="I267" s="15" t="str">
        <x:v>a83e5a8a5d7262dd223ebbf4af2bf4c8434d9701</x:v>
      </x:c>
    </x:row>
    <x:row r="268" ht="54" customHeight="1">
      <x:c r="A268" s="4" t="str">
        <x:v>GoodQuestions</x:v>
      </x:c>
      <x:c r="B268" s="4" t="str">
        <x:v>tb/pdf_q15_tb.v</x:v>
      </x:c>
      <x:c r="C268" s="4" t="str">
        <x:v>Existing testbench</x:v>
      </x:c>
      <x:c r="D268" s="4" t="str">
        <x:v>pdf_q15_tb</x:v>
      </x:c>
      <x:c r="E268" s="4" t="str"/>
      <x:c r="F268" s="4" t="str"/>
      <x:c r="G268" s="4" t="str">
        <x:v>Supporting evidence only; map assertions to case IDs before claiming coverage.</x:v>
      </x:c>
      <x:c r="H268" s="25" t="str">
        <x:v>https://github.com/kapiltrip/GoodQuestions/blob/a83e5a8a5d7262dd223ebbf4af2bf4c8434d9701/tb/pdf_q15_tb.v</x:v>
      </x:c>
      <x:c r="I268" s="4" t="str">
        <x:v>a83e5a8a5d7262dd223ebbf4af2bf4c8434d9701</x:v>
      </x:c>
    </x:row>
    <x:row r="269" ht="54" customHeight="1">
      <x:c r="A269" s="15" t="str">
        <x:v>GoodQuestions</x:v>
      </x:c>
      <x:c r="B269" s="15" t="str">
        <x:v>tb/pdf_q16_tb.v</x:v>
      </x:c>
      <x:c r="C269" s="15" t="str">
        <x:v>Existing testbench</x:v>
      </x:c>
      <x:c r="D269" s="15" t="str">
        <x:v>pdf_q16_tb</x:v>
      </x:c>
      <x:c r="E269" s="15" t="str"/>
      <x:c r="F269" s="15" t="str"/>
      <x:c r="G269" s="15" t="str">
        <x:v>Supporting evidence only; map assertions to case IDs before claiming coverage.</x:v>
      </x:c>
      <x:c r="H269" s="26" t="str">
        <x:v>https://github.com/kapiltrip/GoodQuestions/blob/a83e5a8a5d7262dd223ebbf4af2bf4c8434d9701/tb/pdf_q16_tb.v</x:v>
      </x:c>
      <x:c r="I269" s="15" t="str">
        <x:v>a83e5a8a5d7262dd223ebbf4af2bf4c8434d9701</x:v>
      </x:c>
    </x:row>
    <x:row r="270" ht="54" customHeight="1">
      <x:c r="A270" s="4" t="str">
        <x:v>GoodQuestions</x:v>
      </x:c>
      <x:c r="B270" s="4" t="str">
        <x:v>tb/pdf_q17_tb.v</x:v>
      </x:c>
      <x:c r="C270" s="4" t="str">
        <x:v>Existing testbench</x:v>
      </x:c>
      <x:c r="D270" s="4" t="str">
        <x:v>pdf_q17_tb</x:v>
      </x:c>
      <x:c r="E270" s="4" t="str">
        <x:v>g</x:v>
      </x:c>
      <x:c r="F270" s="4" t="str"/>
      <x:c r="G270" s="4" t="str">
        <x:v>Supporting evidence only; map assertions to case IDs before claiming coverage.</x:v>
      </x:c>
      <x:c r="H270" s="25" t="str">
        <x:v>https://github.com/kapiltrip/GoodQuestions/blob/a83e5a8a5d7262dd223ebbf4af2bf4c8434d9701/tb/pdf_q17_tb.v</x:v>
      </x:c>
      <x:c r="I270" s="4" t="str">
        <x:v>a83e5a8a5d7262dd223ebbf4af2bf4c8434d9701</x:v>
      </x:c>
    </x:row>
    <x:row r="271" ht="54" customHeight="1">
      <x:c r="A271" s="15" t="str">
        <x:v>GoodQuestions</x:v>
      </x:c>
      <x:c r="B271" s="15" t="str">
        <x:v>tb/pdf_q18_tb.v</x:v>
      </x:c>
      <x:c r="C271" s="15" t="str">
        <x:v>Existing testbench</x:v>
      </x:c>
      <x:c r="D271" s="15" t="str">
        <x:v>pdf_q18_tb</x:v>
      </x:c>
      <x:c r="E271" s="15" t="str">
        <x:v>p_push, p_pop, p_data</x:v>
      </x:c>
      <x:c r="F271" s="15" t="str"/>
      <x:c r="G271" s="15" t="str">
        <x:v>Supporting evidence only; map assertions to case IDs before claiming coverage.</x:v>
      </x:c>
      <x:c r="H271" s="26" t="str">
        <x:v>https://github.com/kapiltrip/GoodQuestions/blob/a83e5a8a5d7262dd223ebbf4af2bf4c8434d9701/tb/pdf_q18_tb.v</x:v>
      </x:c>
      <x:c r="I271" s="15" t="str">
        <x:v>a83e5a8a5d7262dd223ebbf4af2bf4c8434d9701</x:v>
      </x:c>
    </x:row>
    <x:row r="272" ht="54" customHeight="1">
      <x:c r="A272" s="4" t="str">
        <x:v>GoodQuestions</x:v>
      </x:c>
      <x:c r="B272" s="4" t="str">
        <x:v>tb/pdf_q19_tb.v</x:v>
      </x:c>
      <x:c r="C272" s="4" t="str">
        <x:v>Existing testbench</x:v>
      </x:c>
      <x:c r="D272" s="4" t="str">
        <x:v>pdf_q19_tb</x:v>
      </x:c>
      <x:c r="E272" s="4" t="str"/>
      <x:c r="F272" s="4" t="str"/>
      <x:c r="G272" s="4" t="str">
        <x:v>Supporting evidence only; map assertions to case IDs before claiming coverage.</x:v>
      </x:c>
      <x:c r="H272" s="25" t="str">
        <x:v>https://github.com/kapiltrip/GoodQuestions/blob/a83e5a8a5d7262dd223ebbf4af2bf4c8434d9701/tb/pdf_q19_tb.v</x:v>
      </x:c>
      <x:c r="I272" s="4" t="str">
        <x:v>a83e5a8a5d7262dd223ebbf4af2bf4c8434d9701</x:v>
      </x:c>
    </x:row>
    <x:row r="273" ht="54" customHeight="1">
      <x:c r="A273" s="15" t="str">
        <x:v>GoodQuestions</x:v>
      </x:c>
      <x:c r="B273" s="15" t="str">
        <x:v>tb/pdf_q20_tb.v</x:v>
      </x:c>
      <x:c r="C273" s="15" t="str">
        <x:v>Existing testbench</x:v>
      </x:c>
      <x:c r="D273" s="15" t="str">
        <x:v>pdf_q20_tb</x:v>
      </x:c>
      <x:c r="E273" s="15" t="str"/>
      <x:c r="F273" s="15" t="str"/>
      <x:c r="G273" s="15" t="str">
        <x:v>Supporting evidence only; map assertions to case IDs before claiming coverage.</x:v>
      </x:c>
      <x:c r="H273" s="26" t="str">
        <x:v>https://github.com/kapiltrip/GoodQuestions/blob/a83e5a8a5d7262dd223ebbf4af2bf4c8434d9701/tb/pdf_q20_tb.v</x:v>
      </x:c>
      <x:c r="I273" s="15" t="str">
        <x:v>a83e5a8a5d7262dd223ebbf4af2bf4c8434d9701</x:v>
      </x:c>
    </x:row>
    <x:row r="274" ht="54" customHeight="1">
      <x:c r="A274" s="4" t="str">
        <x:v>GoodQuestions</x:v>
      </x:c>
      <x:c r="B274" s="4" t="str">
        <x:v>tb/pdf_q21_tb.v</x:v>
      </x:c>
      <x:c r="C274" s="4" t="str">
        <x:v>Existing testbench</x:v>
      </x:c>
      <x:c r="D274" s="4" t="str">
        <x:v>pdf_q21_tb</x:v>
      </x:c>
      <x:c r="E274" s="4" t="str">
        <x:v>s</x:v>
      </x:c>
      <x:c r="F274" s="4" t="str"/>
      <x:c r="G274" s="4" t="str">
        <x:v>Supporting evidence only; map assertions to case IDs before claiming coverage.</x:v>
      </x:c>
      <x:c r="H274" s="25" t="str">
        <x:v>https://github.com/kapiltrip/GoodQuestions/blob/a83e5a8a5d7262dd223ebbf4af2bf4c8434d9701/tb/pdf_q21_tb.v</x:v>
      </x:c>
      <x:c r="I274" s="4" t="str">
        <x:v>a83e5a8a5d7262dd223ebbf4af2bf4c8434d9701</x:v>
      </x:c>
    </x:row>
    <x:row r="275" ht="54" customHeight="1">
      <x:c r="A275" s="15" t="str">
        <x:v>GoodQuestions</x:v>
      </x:c>
      <x:c r="B275" s="15" t="str">
        <x:v>tb/pdf_q22_tb.v</x:v>
      </x:c>
      <x:c r="C275" s="15" t="str">
        <x:v>Existing testbench</x:v>
      </x:c>
      <x:c r="D275" s="15" t="str">
        <x:v>pdf_q22_tb</x:v>
      </x:c>
      <x:c r="E275" s="15" t="str"/>
      <x:c r="F275" s="15" t="str"/>
      <x:c r="G275" s="15" t="str">
        <x:v>Supporting evidence only; map assertions to case IDs before claiming coverage.</x:v>
      </x:c>
      <x:c r="H275" s="26" t="str">
        <x:v>https://github.com/kapiltrip/GoodQuestions/blob/a83e5a8a5d7262dd223ebbf4af2bf4c8434d9701/tb/pdf_q22_tb.v</x:v>
      </x:c>
      <x:c r="I275" s="15" t="str">
        <x:v>a83e5a8a5d7262dd223ebbf4af2bf4c8434d9701</x:v>
      </x:c>
    </x:row>
    <x:row r="276" ht="54" customHeight="1">
      <x:c r="A276" s="4" t="str">
        <x:v>GoodQuestions</x:v>
      </x:c>
      <x:c r="B276" s="4" t="str">
        <x:v>tb/pdf_q23_tb.v</x:v>
      </x:c>
      <x:c r="C276" s="4" t="str">
        <x:v>Existing testbench</x:v>
      </x:c>
      <x:c r="D276" s="4" t="str">
        <x:v>pdf_q23_tb</x:v>
      </x:c>
      <x:c r="E276" s="4" t="str"/>
      <x:c r="F276" s="4" t="str"/>
      <x:c r="G276" s="4" t="str">
        <x:v>Supporting evidence only; map assertions to case IDs before claiming coverage.</x:v>
      </x:c>
      <x:c r="H276" s="25" t="str">
        <x:v>https://github.com/kapiltrip/GoodQuestions/blob/a83e5a8a5d7262dd223ebbf4af2bf4c8434d9701/tb/pdf_q23_tb.v</x:v>
      </x:c>
      <x:c r="I276" s="4" t="str">
        <x:v>a83e5a8a5d7262dd223ebbf4af2bf4c8434d9701</x:v>
      </x:c>
    </x:row>
    <x:row r="277" ht="54" customHeight="1">
      <x:c r="A277" s="15" t="str">
        <x:v>GoodQuestions</x:v>
      </x:c>
      <x:c r="B277" s="15" t="str">
        <x:v>tb/pdf_q24_tb.v</x:v>
      </x:c>
      <x:c r="C277" s="15" t="str">
        <x:v>Existing testbench</x:v>
      </x:c>
      <x:c r="D277" s="15" t="str">
        <x:v>pdf_q24_tb</x:v>
      </x:c>
      <x:c r="E277" s="15" t="str"/>
      <x:c r="F277" s="15" t="str"/>
      <x:c r="G277" s="15" t="str">
        <x:v>Supporting evidence only; map assertions to case IDs before claiming coverage.</x:v>
      </x:c>
      <x:c r="H277" s="26" t="str">
        <x:v>https://github.com/kapiltrip/GoodQuestions/blob/a83e5a8a5d7262dd223ebbf4af2bf4c8434d9701/tb/pdf_q24_tb.v</x:v>
      </x:c>
      <x:c r="I277" s="15" t="str">
        <x:v>a83e5a8a5d7262dd223ebbf4af2bf4c8434d9701</x:v>
      </x:c>
    </x:row>
    <x:row r="278" ht="54" customHeight="1">
      <x:c r="A278" s="4" t="str">
        <x:v>GoodQuestions</x:v>
      </x:c>
      <x:c r="B278" s="4" t="str">
        <x:v>tb/pdf_q25_tb.v</x:v>
      </x:c>
      <x:c r="C278" s="4" t="str">
        <x:v>Existing testbench</x:v>
      </x:c>
      <x:c r="D278" s="4" t="str">
        <x:v>pdf_q25_tb</x:v>
      </x:c>
      <x:c r="E278" s="4" t="str"/>
      <x:c r="F278" s="4" t="str"/>
      <x:c r="G278" s="4" t="str">
        <x:v>Supporting evidence only; map assertions to case IDs before claiming coverage.</x:v>
      </x:c>
      <x:c r="H278" s="25" t="str">
        <x:v>https://github.com/kapiltrip/GoodQuestions/blob/a83e5a8a5d7262dd223ebbf4af2bf4c8434d9701/tb/pdf_q25_tb.v</x:v>
      </x:c>
      <x:c r="I278" s="4" t="str">
        <x:v>a83e5a8a5d7262dd223ebbf4af2bf4c8434d9701</x:v>
      </x:c>
    </x:row>
    <x:row r="279" ht="54" customHeight="1">
      <x:c r="A279" s="15" t="str">
        <x:v>GoodQuestions</x:v>
      </x:c>
      <x:c r="B279" s="15" t="str">
        <x:v>tb/pdf_q26_tb.v</x:v>
      </x:c>
      <x:c r="C279" s="15" t="str">
        <x:v>Existing testbench</x:v>
      </x:c>
      <x:c r="D279" s="15" t="str">
        <x:v>pdf_q26_tb</x:v>
      </x:c>
      <x:c r="E279" s="15" t="str"/>
      <x:c r="F279" s="15" t="str"/>
      <x:c r="G279" s="15" t="str">
        <x:v>Supporting evidence only; map assertions to case IDs before claiming coverage.</x:v>
      </x:c>
      <x:c r="H279" s="26" t="str">
        <x:v>https://github.com/kapiltrip/GoodQuestions/blob/a83e5a8a5d7262dd223ebbf4af2bf4c8434d9701/tb/pdf_q26_tb.v</x:v>
      </x:c>
      <x:c r="I279" s="15" t="str">
        <x:v>a83e5a8a5d7262dd223ebbf4af2bf4c8434d9701</x:v>
      </x:c>
    </x:row>
    <x:row r="280" ht="54" customHeight="1">
      <x:c r="A280" s="4" t="str">
        <x:v>GoodQuestions</x:v>
      </x:c>
      <x:c r="B280" s="4" t="str">
        <x:v>tb/pdf_q27_tb.v</x:v>
      </x:c>
      <x:c r="C280" s="4" t="str">
        <x:v>Existing testbench</x:v>
      </x:c>
      <x:c r="D280" s="4" t="str">
        <x:v>pdf_q27_tb</x:v>
      </x:c>
      <x:c r="E280" s="4" t="str"/>
      <x:c r="F280" s="4" t="str"/>
      <x:c r="G280" s="4" t="str">
        <x:v>Supporting evidence only; map assertions to case IDs before claiming coverage.</x:v>
      </x:c>
      <x:c r="H280" s="25" t="str">
        <x:v>https://github.com/kapiltrip/GoodQuestions/blob/a83e5a8a5d7262dd223ebbf4af2bf4c8434d9701/tb/pdf_q27_tb.v</x:v>
      </x:c>
      <x:c r="I280" s="4" t="str">
        <x:v>a83e5a8a5d7262dd223ebbf4af2bf4c8434d9701</x:v>
      </x:c>
    </x:row>
    <x:row r="281" ht="54" customHeight="1">
      <x:c r="A281" s="15" t="str">
        <x:v>GoodQuestions</x:v>
      </x:c>
      <x:c r="B281" s="15" t="str">
        <x:v>tb/pdf_q27_variants_tb.v</x:v>
      </x:c>
      <x:c r="C281" s="15" t="str">
        <x:v>Existing testbench</x:v>
      </x:c>
      <x:c r="D281" s="15" t="str">
        <x:v>pdf_q27_variants_tb</x:v>
      </x:c>
      <x:c r="E281" s="15" t="str"/>
      <x:c r="F281" s="15" t="str"/>
      <x:c r="G281" s="15" t="str">
        <x:v>Supporting evidence only; map assertions to case IDs before claiming coverage.</x:v>
      </x:c>
      <x:c r="H281" s="26" t="str">
        <x:v>https://github.com/kapiltrip/GoodQuestions/blob/a83e5a8a5d7262dd223ebbf4af2bf4c8434d9701/tb/pdf_q27_variants_tb.v</x:v>
      </x:c>
      <x:c r="I281" s="15" t="str">
        <x:v>a83e5a8a5d7262dd223ebbf4af2bf4c8434d9701</x:v>
      </x:c>
    </x:row>
    <x:row r="282" ht="54" customHeight="1">
      <x:c r="A282" s="4" t="str">
        <x:v>GoodQuestions</x:v>
      </x:c>
      <x:c r="B282" s="4" t="str">
        <x:v>tb/pdf_q28_tb.v</x:v>
      </x:c>
      <x:c r="C282" s="4" t="str">
        <x:v>Existing testbench</x:v>
      </x:c>
      <x:c r="D282" s="4" t="str">
        <x:v>pdf_q28_tb</x:v>
      </x:c>
      <x:c r="E282" s="4" t="str">
        <x:v>clock</x:v>
      </x:c>
      <x:c r="F282" s="4" t="str"/>
      <x:c r="G282" s="4" t="str">
        <x:v>Supporting evidence only; map assertions to case IDs before claiming coverage.</x:v>
      </x:c>
      <x:c r="H282" s="25" t="str">
        <x:v>https://github.com/kapiltrip/GoodQuestions/blob/a83e5a8a5d7262dd223ebbf4af2bf4c8434d9701/tb/pdf_q28_tb.v</x:v>
      </x:c>
      <x:c r="I282" s="4" t="str">
        <x:v>a83e5a8a5d7262dd223ebbf4af2bf4c8434d9701</x:v>
      </x:c>
    </x:row>
    <x:row r="283" ht="54" customHeight="1">
      <x:c r="A283" s="15" t="str">
        <x:v>GoodQuestions</x:v>
      </x:c>
      <x:c r="B283" s="15" t="str">
        <x:v>tb/pdf_q29_tb.v</x:v>
      </x:c>
      <x:c r="C283" s="15" t="str">
        <x:v>Existing testbench</x:v>
      </x:c>
      <x:c r="D283" s="15" t="str">
        <x:v>pdf_q29_tb</x:v>
      </x:c>
      <x:c r="E283" s="15" t="str"/>
      <x:c r="F283" s="15" t="str"/>
      <x:c r="G283" s="15" t="str">
        <x:v>Supporting evidence only; map assertions to case IDs before claiming coverage.</x:v>
      </x:c>
      <x:c r="H283" s="26" t="str">
        <x:v>https://github.com/kapiltrip/GoodQuestions/blob/a83e5a8a5d7262dd223ebbf4af2bf4c8434d9701/tb/pdf_q29_tb.v</x:v>
      </x:c>
      <x:c r="I283" s="15" t="str">
        <x:v>a83e5a8a5d7262dd223ebbf4af2bf4c8434d9701</x:v>
      </x:c>
    </x:row>
    <x:row r="284" ht="54" customHeight="1">
      <x:c r="A284" s="4" t="str">
        <x:v>GoodQuestions</x:v>
      </x:c>
      <x:c r="B284" s="4" t="str">
        <x:v>tb/pdf_q30_tb.v</x:v>
      </x:c>
      <x:c r="C284" s="4" t="str">
        <x:v>Existing testbench</x:v>
      </x:c>
      <x:c r="D284" s="4" t="str">
        <x:v>pdf_q30_tb</x:v>
      </x:c>
      <x:c r="E284" s="4" t="str"/>
      <x:c r="F284" s="4" t="str"/>
      <x:c r="G284" s="4" t="str">
        <x:v>Supporting evidence only; map assertions to case IDs before claiming coverage.</x:v>
      </x:c>
      <x:c r="H284" s="25" t="str">
        <x:v>https://github.com/kapiltrip/GoodQuestions/blob/a83e5a8a5d7262dd223ebbf4af2bf4c8434d9701/tb/pdf_q30_tb.v</x:v>
      </x:c>
      <x:c r="I284" s="4" t="str">
        <x:v>a83e5a8a5d7262dd223ebbf4af2bf4c8434d9701</x:v>
      </x:c>
    </x:row>
    <x:row r="285" ht="54" customHeight="1">
      <x:c r="A285" s="15" t="str">
        <x:v>GoodQuestions</x:v>
      </x:c>
      <x:c r="B285" s="15" t="str">
        <x:v>tb/q01_mux_tb.v</x:v>
      </x:c>
      <x:c r="C285" s="15" t="str">
        <x:v>Existing testbench</x:v>
      </x:c>
      <x:c r="D285" s="15" t="str">
        <x:v>q01_mux_tb</x:v>
      </x:c>
      <x:c r="E285" s="15" t="str"/>
      <x:c r="F285" s="15" t="str"/>
      <x:c r="G285" s="15" t="str">
        <x:v>Supporting evidence only; map assertions to case IDs before claiming coverage.</x:v>
      </x:c>
      <x:c r="H285" s="26" t="str">
        <x:v>https://github.com/kapiltrip/GoodQuestions/blob/a83e5a8a5d7262dd223ebbf4af2bf4c8434d9701/tb/q01_mux_tb.v</x:v>
      </x:c>
      <x:c r="I285" s="15" t="str">
        <x:v>a83e5a8a5d7262dd223ebbf4af2bf4c8434d9701</x:v>
      </x:c>
    </x:row>
    <x:row r="286" ht="54" customHeight="1">
      <x:c r="A286" s="4" t="str">
        <x:v>GoodQuestions</x:v>
      </x:c>
      <x:c r="B286" s="4" t="str">
        <x:v>tb/q02_ff_tb.v</x:v>
      </x:c>
      <x:c r="C286" s="4" t="str">
        <x:v>Existing testbench</x:v>
      </x:c>
      <x:c r="D286" s="4" t="str">
        <x:v>q02_ff_tb</x:v>
      </x:c>
      <x:c r="E286" s="4" t="str"/>
      <x:c r="F286" s="4" t="str"/>
      <x:c r="G286" s="4" t="str">
        <x:v>Supporting evidence only; map assertions to case IDs before claiming coverage.</x:v>
      </x:c>
      <x:c r="H286" s="25" t="str">
        <x:v>https://github.com/kapiltrip/GoodQuestions/blob/a83e5a8a5d7262dd223ebbf4af2bf4c8434d9701/tb/q02_ff_tb.v</x:v>
      </x:c>
      <x:c r="I286" s="4" t="str">
        <x:v>a83e5a8a5d7262dd223ebbf4af2bf4c8434d9701</x:v>
      </x:c>
    </x:row>
    <x:row r="287" ht="54" customHeight="1">
      <x:c r="A287" s="15" t="str">
        <x:v>GoodQuestions</x:v>
      </x:c>
      <x:c r="B287" s="15" t="str">
        <x:v>tb/q03_edge_detect_async_d_tb.v</x:v>
      </x:c>
      <x:c r="C287" s="15" t="str">
        <x:v>Existing testbench</x:v>
      </x:c>
      <x:c r="D287" s="15" t="str">
        <x:v>q03_edge_detect_async_d_tb</x:v>
      </x:c>
      <x:c r="E287" s="15" t="str"/>
      <x:c r="F287" s="15" t="str"/>
      <x:c r="G287" s="15" t="str">
        <x:v>Supporting evidence only; map assertions to case IDs before claiming coverage.</x:v>
      </x:c>
      <x:c r="H287" s="26" t="str">
        <x:v>https://github.com/kapiltrip/GoodQuestions/blob/a83e5a8a5d7262dd223ebbf4af2bf4c8434d9701/tb/q03_edge_detect_async_d_tb.v</x:v>
      </x:c>
      <x:c r="I287" s="15" t="str">
        <x:v>a83e5a8a5d7262dd223ebbf4af2bf4c8434d9701</x:v>
      </x:c>
    </x:row>
    <x:row r="288" ht="54" customHeight="1">
      <x:c r="A288" s="4" t="str">
        <x:v>GoodQuestions</x:v>
      </x:c>
      <x:c r="B288" s="4" t="str">
        <x:v>tb/q03_edge_detect_tb.v</x:v>
      </x:c>
      <x:c r="C288" s="4" t="str">
        <x:v>Existing testbench</x:v>
      </x:c>
      <x:c r="D288" s="4" t="str">
        <x:v>q03_edge_detect_tb</x:v>
      </x:c>
      <x:c r="E288" s="4" t="str"/>
      <x:c r="F288" s="4" t="str"/>
      <x:c r="G288" s="4" t="str">
        <x:v>Supporting evidence only; map assertions to case IDs before claiming coverage.</x:v>
      </x:c>
      <x:c r="H288" s="25" t="str">
        <x:v>https://github.com/kapiltrip/GoodQuestions/blob/a83e5a8a5d7262dd223ebbf4af2bf4c8434d9701/tb/q03_edge_detect_tb.v</x:v>
      </x:c>
      <x:c r="I288" s="4" t="str">
        <x:v>a83e5a8a5d7262dd223ebbf4af2bf4c8434d9701</x:v>
      </x:c>
    </x:row>
    <x:row r="289" ht="54" customHeight="1">
      <x:c r="A289" s="15" t="str">
        <x:v>GoodQuestions</x:v>
      </x:c>
      <x:c r="B289" s="15" t="str">
        <x:v>tb/q04_rise_pulse_tb.v</x:v>
      </x:c>
      <x:c r="C289" s="15" t="str">
        <x:v>Existing testbench</x:v>
      </x:c>
      <x:c r="D289" s="15" t="str">
        <x:v>q04_rise_pulse_tb</x:v>
      </x:c>
      <x:c r="E289" s="15" t="str"/>
      <x:c r="F289" s="15" t="str"/>
      <x:c r="G289" s="15" t="str">
        <x:v>Supporting evidence only; map assertions to case IDs before claiming coverage.</x:v>
      </x:c>
      <x:c r="H289" s="26" t="str">
        <x:v>https://github.com/kapiltrip/GoodQuestions/blob/a83e5a8a5d7262dd223ebbf4af2bf4c8434d9701/tb/q04_rise_pulse_tb.v</x:v>
      </x:c>
      <x:c r="I289" s="15" t="str">
        <x:v>a83e5a8a5d7262dd223ebbf4af2bf4c8434d9701</x:v>
      </x:c>
    </x:row>
    <x:row r="290" ht="54" customHeight="1">
      <x:c r="A290" s="4" t="str">
        <x:v>GoodQuestions</x:v>
      </x:c>
      <x:c r="B290" s="4" t="str">
        <x:v>tb/q05_seq_10110_tb.v</x:v>
      </x:c>
      <x:c r="C290" s="4" t="str">
        <x:v>Existing testbench</x:v>
      </x:c>
      <x:c r="D290" s="4" t="str">
        <x:v>q05_seq_10110_tb</x:v>
      </x:c>
      <x:c r="E290" s="4" t="str">
        <x:v>st, bit_in</x:v>
      </x:c>
      <x:c r="F290" s="4" t="str"/>
      <x:c r="G290" s="4" t="str">
        <x:v>Supporting evidence only; map assertions to case IDs before claiming coverage.</x:v>
      </x:c>
      <x:c r="H290" s="25" t="str">
        <x:v>https://github.com/kapiltrip/GoodQuestions/blob/a83e5a8a5d7262dd223ebbf4af2bf4c8434d9701/tb/q05_seq_10110_tb.v</x:v>
      </x:c>
      <x:c r="I290" s="4" t="str">
        <x:v>a83e5a8a5d7262dd223ebbf4af2bf4c8434d9701</x:v>
      </x:c>
    </x:row>
    <x:row r="291" ht="54" customHeight="1">
      <x:c r="A291" s="15" t="str">
        <x:v>GoodQuestions</x:v>
      </x:c>
      <x:c r="B291" s="15" t="str">
        <x:v>tb/q06_detect_tb.v</x:v>
      </x:c>
      <x:c r="C291" s="15" t="str">
        <x:v>Existing testbench</x:v>
      </x:c>
      <x:c r="D291" s="15" t="str">
        <x:v>q06_detect_tb</x:v>
      </x:c>
      <x:c r="E291" s="15" t="str">
        <x:v>b</x:v>
      </x:c>
      <x:c r="F291" s="15" t="str"/>
      <x:c r="G291" s="15" t="str">
        <x:v>Supporting evidence only; map assertions to case IDs before claiming coverage.</x:v>
      </x:c>
      <x:c r="H291" s="26" t="str">
        <x:v>https://github.com/kapiltrip/GoodQuestions/blob/a83e5a8a5d7262dd223ebbf4af2bf4c8434d9701/tb/q06_detect_tb.v</x:v>
      </x:c>
      <x:c r="I291" s="15" t="str">
        <x:v>a83e5a8a5d7262dd223ebbf4af2bf4c8434d9701</x:v>
      </x:c>
    </x:row>
    <x:row r="292" ht="54" customHeight="1">
      <x:c r="A292" s="4" t="str">
        <x:v>GoodQuestions</x:v>
      </x:c>
      <x:c r="B292" s="4" t="str">
        <x:v>tb/q07_start_and_chipselects_tb.v</x:v>
      </x:c>
      <x:c r="C292" s="4" t="str">
        <x:v>Existing testbench</x:v>
      </x:c>
      <x:c r="D292" s="4" t="str">
        <x:v>q07_start_and_chipselects_tb</x:v>
      </x:c>
      <x:c r="E292" s="4" t="str"/>
      <x:c r="F292" s="4" t="str"/>
      <x:c r="G292" s="4" t="str">
        <x:v>Supporting evidence only; map assertions to case IDs before claiming coverage.</x:v>
      </x:c>
      <x:c r="H292" s="25" t="str">
        <x:v>https://github.com/kapiltrip/GoodQuestions/blob/a83e5a8a5d7262dd223ebbf4af2bf4c8434d9701/tb/q07_start_and_chipselects_tb.v</x:v>
      </x:c>
      <x:c r="I292" s="4" t="str">
        <x:v>a83e5a8a5d7262dd223ebbf4af2bf4c8434d9701</x:v>
      </x:c>
    </x:row>
    <x:row r="293" ht="54" customHeight="1">
      <x:c r="A293" s="15" t="str">
        <x:v>GoodQuestions</x:v>
      </x:c>
      <x:c r="B293" s="15" t="str">
        <x:v>tb/q08_sync_debounce_onepulse_tb.v</x:v>
      </x:c>
      <x:c r="C293" s="15" t="str">
        <x:v>Existing testbench</x:v>
      </x:c>
      <x:c r="D293" s="15" t="str">
        <x:v>q08_sync_debounce_onepulse_tb</x:v>
      </x:c>
      <x:c r="E293" s="15" t="str"/>
      <x:c r="F293" s="15" t="str"/>
      <x:c r="G293" s="15" t="str">
        <x:v>Supporting evidence only; map assertions to case IDs before claiming coverage.</x:v>
      </x:c>
      <x:c r="H293" s="26" t="str">
        <x:v>https://github.com/kapiltrip/GoodQuestions/blob/a83e5a8a5d7262dd223ebbf4af2bf4c8434d9701/tb/q08_sync_debounce_onepulse_tb.v</x:v>
      </x:c>
      <x:c r="I293" s="15" t="str">
        <x:v>a83e5a8a5d7262dd223ebbf4af2bf4c8434d9701</x:v>
      </x:c>
    </x:row>
    <x:row r="294" ht="54" customHeight="1">
      <x:c r="A294" s="4" t="str">
        <x:v>GoodQuestions</x:v>
      </x:c>
      <x:c r="B294" s="4" t="str">
        <x:v>tb/q09_gray_tb.v</x:v>
      </x:c>
      <x:c r="C294" s="4" t="str">
        <x:v>Existing testbench</x:v>
      </x:c>
      <x:c r="D294" s="4" t="str">
        <x:v>q09_gray_tb</x:v>
      </x:c>
      <x:c r="E294" s="4" t="str">
        <x:v>b, g</x:v>
      </x:c>
      <x:c r="F294" s="4" t="str"/>
      <x:c r="G294" s="4" t="str">
        <x:v>Supporting evidence only; map assertions to case IDs before claiming coverage.</x:v>
      </x:c>
      <x:c r="H294" s="25" t="str">
        <x:v>https://github.com/kapiltrip/GoodQuestions/blob/a83e5a8a5d7262dd223ebbf4af2bf4c8434d9701/tb/q09_gray_tb.v</x:v>
      </x:c>
      <x:c r="I294" s="4" t="str">
        <x:v>a83e5a8a5d7262dd223ebbf4af2bf4c8434d9701</x:v>
      </x:c>
    </x:row>
    <x:row r="295" ht="54" customHeight="1">
      <x:c r="A295" s="15" t="str">
        <x:v>MorrisManoDE</x:v>
      </x:c>
      <x:c r="B295" s="15" t="str">
        <x:v>code0.v</x:v>
      </x:c>
      <x:c r="C295" s="15" t="str">
        <x:v>Incomplete RTL</x:v>
      </x:c>
      <x:c r="D295" s="15" t="str">
        <x:v>(incomplete/no module)</x:v>
      </x:c>
      <x:c r="E295" s="15" t="str"/>
      <x:c r="F295" s="15" t="str"/>
      <x:c r="G295" s="15" t="str">
        <x:v>MM-001, MM-002</x:v>
      </x:c>
      <x:c r="H295" s="26" t="str">
        <x:v>https://github.com/kapiltrip/MorrisManoDE/blob/46c9045295755c84efdd9a8e2324004ff0b7d163/code0.v</x:v>
      </x:c>
      <x:c r="I295" s="15" t="str">
        <x:v>46c9045295755c84efdd9a8e2324004ff0b7d163</x:v>
      </x:c>
    </x:row>
    <x:row r="296" ht="54" customHeight="1">
      <x:c r="A296" s="4" t="str">
        <x:v>hdlBits</x:v>
      </x:c>
      <x:c r="B296" s="4" t="str">
        <x:v>HDLBits Attempt 1/study/internal/scripts/hdlbits_stubs.sv</x:v>
      </x:c>
      <x:c r="C296" s="4" t="str">
        <x:v>Verification support</x:v>
      </x:c>
      <x:c r="D296" s="4" t="str">
        <x:v>andgate, andgate, mux2, mod_a, my_dff, add16, bcd_fadd, count4, bcdcount, dut, q7, tff</x:v>
      </x:c>
      <x:c r="E296" s="4" t="str">
        <x:v>a, b, c, d, e, in, sel, clk, cin, enable, load, reset, s, t</x:v>
      </x:c>
      <x:c r="F296" s="4" t="str">
        <x:v>out, out1, out2, q, cout, sum, Q</x:v>
      </x:c>
      <x:c r="G296" s="4" t="str">
        <x:v>Supporting evidence only; map assertions to case IDs before claiming coverage.</x:v>
      </x:c>
      <x:c r="H296" s="25" t="str">
        <x:v>https://github.com/kapiltrip/hdlBits/blob/fc3f2b993a1e202ef42a8e831c29f8f287f85e7a/HDLBits%20Attempt%201/study/internal/scripts/hdlbits_stubs.sv</x:v>
      </x:c>
      <x:c r="I296" s="4" t="str">
        <x:v>fc3f2b993a1e202ef42a8e831c29f8f287f85e7a</x:v>
      </x:c>
    </x:row>
    <x:row r="297" ht="54" customHeight="1">
      <x:c r="A297" s="15" t="str">
        <x:v>hdlBits</x:v>
      </x:c>
      <x:c r="B297" s="15" t="str">
        <x:v>HDLBits Attempt 1/study/solutions/Day 01/001-wire.sv</x:v>
      </x:c>
      <x:c r="C297" s="15" t="str">
        <x:v>Empty RTL stub</x:v>
      </x:c>
      <x:c r="D297" s="15" t="str">
        <x:v>top_module</x:v>
      </x:c>
      <x:c r="E297" s="15" t="str">
        <x:v>in</x:v>
      </x:c>
      <x:c r="F297" s="15" t="str">
        <x:v>out</x:v>
      </x:c>
      <x:c r="G297" s="15" t="str">
        <x:v>HDL-001</x:v>
      </x:c>
      <x:c r="H297" s="26" t="str">
        <x:v>https://github.com/kapiltrip/hdlBits/blob/fc3f2b993a1e202ef42a8e831c29f8f287f85e7a/HDLBits%20Attempt%201/study/solutions/Day%2001/001-wire.sv</x:v>
      </x:c>
      <x:c r="I297" s="15" t="str">
        <x:v>fc3f2b993a1e202ef42a8e831c29f8f287f85e7a</x:v>
      </x:c>
    </x:row>
    <x:row r="298" ht="54" customHeight="1">
      <x:c r="A298" s="4" t="str">
        <x:v>hdlBits</x:v>
      </x:c>
      <x:c r="B298" s="4" t="str">
        <x:v>HDLBits Attempt 1/study/solutions/Day 01/002-wire4.sv</x:v>
      </x:c>
      <x:c r="C298" s="4" t="str">
        <x:v>Empty RTL stub</x:v>
      </x:c>
      <x:c r="D298" s="4" t="str">
        <x:v>top_module</x:v>
      </x:c>
      <x:c r="E298" s="4" t="str">
        <x:v>a, b, c</x:v>
      </x:c>
      <x:c r="F298" s="4" t="str">
        <x:v>w, x, y, z</x:v>
      </x:c>
      <x:c r="G298" s="4" t="str">
        <x:v>HDL-002</x:v>
      </x:c>
      <x:c r="H298" s="25" t="str">
        <x:v>https://github.com/kapiltrip/hdlBits/blob/fc3f2b993a1e202ef42a8e831c29f8f287f85e7a/HDLBits%20Attempt%201/study/solutions/Day%2001/002-wire4.sv</x:v>
      </x:c>
      <x:c r="I298" s="4" t="str">
        <x:v>fc3f2b993a1e202ef42a8e831c29f8f287f85e7a</x:v>
      </x:c>
    </x:row>
    <x:row r="299" ht="54" customHeight="1">
      <x:c r="A299" s="15" t="str">
        <x:v>hdlBits</x:v>
      </x:c>
      <x:c r="B299" s="15" t="str">
        <x:v>HDLBits Attempt 1/study/solutions/Day 01/003-notgate.sv</x:v>
      </x:c>
      <x:c r="C299" s="15" t="str">
        <x:v>RTL</x:v>
      </x:c>
      <x:c r="D299" s="15" t="str">
        <x:v>top_module</x:v>
      </x:c>
      <x:c r="E299" s="15" t="str">
        <x:v>in</x:v>
      </x:c>
      <x:c r="F299" s="15" t="str">
        <x:v>out</x:v>
      </x:c>
      <x:c r="G299" s="15" t="str">
        <x:v>HDL-003, HDL-178</x:v>
      </x:c>
      <x:c r="H299" s="26" t="str">
        <x:v>https://github.com/kapiltrip/hdlBits/blob/fc3f2b993a1e202ef42a8e831c29f8f287f85e7a/HDLBits%20Attempt%201/study/solutions/Day%2001/003-notgate.sv</x:v>
      </x:c>
      <x:c r="I299" s="15" t="str">
        <x:v>fc3f2b993a1e202ef42a8e831c29f8f287f85e7a</x:v>
      </x:c>
    </x:row>
    <x:row r="300" ht="54" customHeight="1">
      <x:c r="A300" s="4" t="str">
        <x:v>hdlBits</x:v>
      </x:c>
      <x:c r="B300" s="4" t="str">
        <x:v>HDLBits Attempt 1/study/solutions/Day 01/008-7458.sv</x:v>
      </x:c>
      <x:c r="C300" s="4" t="str">
        <x:v>Empty RTL stub</x:v>
      </x:c>
      <x:c r="D300" s="4" t="str">
        <x:v>top_module</x:v>
      </x:c>
      <x:c r="E300" s="4" t="str">
        <x:v>p1a, p1b, p1c, p1d, p1e, p1f, p2a, p2b, p2c, p2d</x:v>
      </x:c>
      <x:c r="F300" s="4" t="str">
        <x:v>p1y, p2y</x:v>
      </x:c>
      <x:c r="G300" s="4" t="str">
        <x:v>HDL-004</x:v>
      </x:c>
      <x:c r="H300" s="25" t="str">
        <x:v>https://github.com/kapiltrip/hdlBits/blob/fc3f2b993a1e202ef42a8e831c29f8f287f85e7a/HDLBits%20Attempt%201/study/solutions/Day%2001/008-7458.sv</x:v>
      </x:c>
      <x:c r="I300" s="4" t="str">
        <x:v>fc3f2b993a1e202ef42a8e831c29f8f287f85e7a</x:v>
      </x:c>
    </x:row>
    <x:row r="301" ht="54" customHeight="1">
      <x:c r="A301" s="15" t="str">
        <x:v>hdlBits</x:v>
      </x:c>
      <x:c r="B301" s="15" t="str">
        <x:v>HDLBits Attempt 1/study/solutions/Day 01/009-vector0.sv</x:v>
      </x:c>
      <x:c r="C301" s="15" t="str">
        <x:v>RTL</x:v>
      </x:c>
      <x:c r="D301" s="15" t="str">
        <x:v>top_module</x:v>
      </x:c>
      <x:c r="E301" s="15" t="str">
        <x:v>vec</x:v>
      </x:c>
      <x:c r="F301" s="15" t="str">
        <x:v>outv, o2, o1, o0</x:v>
      </x:c>
      <x:c r="G301" s="15" t="str">
        <x:v>HDL-005</x:v>
      </x:c>
      <x:c r="H301" s="26" t="str">
        <x:v>https://github.com/kapiltrip/hdlBits/blob/fc3f2b993a1e202ef42a8e831c29f8f287f85e7a/HDLBits%20Attempt%201/study/solutions/Day%2001/009-vector0.sv</x:v>
      </x:c>
      <x:c r="I301" s="15" t="str">
        <x:v>fc3f2b993a1e202ef42a8e831c29f8f287f85e7a</x:v>
      </x:c>
    </x:row>
    <x:row r="302" ht="54" customHeight="1">
      <x:c r="A302" s="4" t="str">
        <x:v>hdlBits</x:v>
      </x:c>
      <x:c r="B302" s="4" t="str">
        <x:v>HDLBits Attempt 1/study/solutions/Day 01/010-vector1.sv</x:v>
      </x:c>
      <x:c r="C302" s="4" t="str">
        <x:v>RTL</x:v>
      </x:c>
      <x:c r="D302" s="4" t="str">
        <x:v>top_module</x:v>
      </x:c>
      <x:c r="E302" s="4" t="str">
        <x:v>in</x:v>
      </x:c>
      <x:c r="F302" s="4" t="str">
        <x:v>out_hi, out_lo</x:v>
      </x:c>
      <x:c r="G302" s="4" t="str">
        <x:v>HDL-006</x:v>
      </x:c>
      <x:c r="H302" s="25" t="str">
        <x:v>https://github.com/kapiltrip/hdlBits/blob/fc3f2b993a1e202ef42a8e831c29f8f287f85e7a/HDLBits%20Attempt%201/study/solutions/Day%2001/010-vector1.sv</x:v>
      </x:c>
      <x:c r="I302" s="4" t="str">
        <x:v>fc3f2b993a1e202ef42a8e831c29f8f287f85e7a</x:v>
      </x:c>
    </x:row>
    <x:row r="303" ht="54" customHeight="1">
      <x:c r="A303" s="15" t="str">
        <x:v>hdlBits</x:v>
      </x:c>
      <x:c r="B303" s="15" t="str">
        <x:v>HDLBits Attempt 1/study/solutions/Day 01/011-vector2.sv</x:v>
      </x:c>
      <x:c r="C303" s="15" t="str">
        <x:v>RTL</x:v>
      </x:c>
      <x:c r="D303" s="15" t="str">
        <x:v>top_module</x:v>
      </x:c>
      <x:c r="E303" s="15" t="str">
        <x:v>in</x:v>
      </x:c>
      <x:c r="F303" s="15" t="str">
        <x:v>out</x:v>
      </x:c>
      <x:c r="G303" s="15" t="str">
        <x:v>HDL-007</x:v>
      </x:c>
      <x:c r="H303" s="26" t="str">
        <x:v>https://github.com/kapiltrip/hdlBits/blob/fc3f2b993a1e202ef42a8e831c29f8f287f85e7a/HDLBits%20Attempt%201/study/solutions/Day%2001/011-vector2.sv</x:v>
      </x:c>
      <x:c r="I303" s="15" t="str">
        <x:v>fc3f2b993a1e202ef42a8e831c29f8f287f85e7a</x:v>
      </x:c>
    </x:row>
    <x:row r="304" ht="54" customHeight="1">
      <x:c r="A304" s="4" t="str">
        <x:v>hdlBits</x:v>
      </x:c>
      <x:c r="B304" s="4" t="str">
        <x:v>HDLBits Attempt 1/study/solutions/Day 01/012-vectorgates.sv</x:v>
      </x:c>
      <x:c r="C304" s="4" t="str">
        <x:v>RTL</x:v>
      </x:c>
      <x:c r="D304" s="4" t="str">
        <x:v>top_module</x:v>
      </x:c>
      <x:c r="E304" s="4" t="str">
        <x:v>a, b</x:v>
      </x:c>
      <x:c r="F304" s="4" t="str">
        <x:v>out_or_bitwise, out_or_logical, out_not</x:v>
      </x:c>
      <x:c r="G304" s="4" t="str">
        <x:v>HDL-008</x:v>
      </x:c>
      <x:c r="H304" s="25" t="str">
        <x:v>https://github.com/kapiltrip/hdlBits/blob/fc3f2b993a1e202ef42a8e831c29f8f287f85e7a/HDLBits%20Attempt%201/study/solutions/Day%2001/012-vectorgates.sv</x:v>
      </x:c>
      <x:c r="I304" s="4" t="str">
        <x:v>fc3f2b993a1e202ef42a8e831c29f8f287f85e7a</x:v>
      </x:c>
    </x:row>
    <x:row r="305" ht="54" customHeight="1">
      <x:c r="A305" s="15" t="str">
        <x:v>hdlBits</x:v>
      </x:c>
      <x:c r="B305" s="15" t="str">
        <x:v>HDLBits Attempt 1/study/solutions/Day 01/013-gates4.sv</x:v>
      </x:c>
      <x:c r="C305" s="15" t="str">
        <x:v>RTL</x:v>
      </x:c>
      <x:c r="D305" s="15" t="str">
        <x:v>top_module</x:v>
      </x:c>
      <x:c r="E305" s="15" t="str">
        <x:v>in</x:v>
      </x:c>
      <x:c r="F305" s="15" t="str">
        <x:v>out_and, out_or, out_xor</x:v>
      </x:c>
      <x:c r="G305" s="15" t="str">
        <x:v>HDL-009</x:v>
      </x:c>
      <x:c r="H305" s="26" t="str">
        <x:v>https://github.com/kapiltrip/hdlBits/blob/fc3f2b993a1e202ef42a8e831c29f8f287f85e7a/HDLBits%20Attempt%201/study/solutions/Day%2001/013-gates4.sv</x:v>
      </x:c>
      <x:c r="I305" s="15" t="str">
        <x:v>fc3f2b993a1e202ef42a8e831c29f8f287f85e7a</x:v>
      </x:c>
    </x:row>
    <x:row r="306" ht="54" customHeight="1">
      <x:c r="A306" s="4" t="str">
        <x:v>hdlBits</x:v>
      </x:c>
      <x:c r="B306" s="4" t="str">
        <x:v>HDLBits Attempt 1/study/solutions/Day 01/014-vector3.sv</x:v>
      </x:c>
      <x:c r="C306" s="4" t="str">
        <x:v>Empty RTL stub</x:v>
      </x:c>
      <x:c r="D306" s="4" t="str">
        <x:v>top_module</x:v>
      </x:c>
      <x:c r="E306" s="4" t="str">
        <x:v>a, b, c, d, e, f</x:v>
      </x:c>
      <x:c r="F306" s="4" t="str">
        <x:v>w, x, y, z</x:v>
      </x:c>
      <x:c r="G306" s="4" t="str">
        <x:v>HDL-010</x:v>
      </x:c>
      <x:c r="H306" s="25" t="str">
        <x:v>https://github.com/kapiltrip/hdlBits/blob/fc3f2b993a1e202ef42a8e831c29f8f287f85e7a/HDLBits%20Attempt%201/study/solutions/Day%2001/014-vector3.sv</x:v>
      </x:c>
      <x:c r="I306" s="4" t="str">
        <x:v>fc3f2b993a1e202ef42a8e831c29f8f287f85e7a</x:v>
      </x:c>
    </x:row>
    <x:row r="307" ht="54" customHeight="1">
      <x:c r="A307" s="15" t="str">
        <x:v>hdlBits</x:v>
      </x:c>
      <x:c r="B307" s="15" t="str">
        <x:v>HDLBits Attempt 1/study/solutions/Day 01/015-vectorr.sv</x:v>
      </x:c>
      <x:c r="C307" s="15" t="str">
        <x:v>RTL</x:v>
      </x:c>
      <x:c r="D307" s="15" t="str">
        <x:v>top_module</x:v>
      </x:c>
      <x:c r="E307" s="15" t="str">
        <x:v>in</x:v>
      </x:c>
      <x:c r="F307" s="15" t="str">
        <x:v>out</x:v>
      </x:c>
      <x:c r="G307" s="15" t="str">
        <x:v>HDL-011</x:v>
      </x:c>
      <x:c r="H307" s="26" t="str">
        <x:v>https://github.com/kapiltrip/hdlBits/blob/fc3f2b993a1e202ef42a8e831c29f8f287f85e7a/HDLBits%20Attempt%201/study/solutions/Day%2001/015-vectorr.sv</x:v>
      </x:c>
      <x:c r="I307" s="15" t="str">
        <x:v>fc3f2b993a1e202ef42a8e831c29f8f287f85e7a</x:v>
      </x:c>
    </x:row>
    <x:row r="308" ht="54" customHeight="1">
      <x:c r="A308" s="4" t="str">
        <x:v>hdlBits</x:v>
      </x:c>
      <x:c r="B308" s="4" t="str">
        <x:v>HDLBits Attempt 1/study/solutions/Day 01/016-vector4.sv</x:v>
      </x:c>
      <x:c r="C308" s="4" t="str">
        <x:v>RTL</x:v>
      </x:c>
      <x:c r="D308" s="4" t="str">
        <x:v>top_module</x:v>
      </x:c>
      <x:c r="E308" s="4" t="str">
        <x:v>in</x:v>
      </x:c>
      <x:c r="F308" s="4" t="str">
        <x:v>out</x:v>
      </x:c>
      <x:c r="G308" s="4" t="str">
        <x:v>HDL-012</x:v>
      </x:c>
      <x:c r="H308" s="25" t="str">
        <x:v>https://github.com/kapiltrip/hdlBits/blob/fc3f2b993a1e202ef42a8e831c29f8f287f85e7a/HDLBits%20Attempt%201/study/solutions/Day%2001/016-vector4.sv</x:v>
      </x:c>
      <x:c r="I308" s="4" t="str">
        <x:v>fc3f2b993a1e202ef42a8e831c29f8f287f85e7a</x:v>
      </x:c>
    </x:row>
    <x:row r="309" ht="54" customHeight="1">
      <x:c r="A309" s="15" t="str">
        <x:v>hdlBits</x:v>
      </x:c>
      <x:c r="B309" s="15" t="str">
        <x:v>HDLBits Attempt 1/study/solutions/Day 02/004-andgate.sv</x:v>
      </x:c>
      <x:c r="C309" s="15" t="str">
        <x:v>RTL</x:v>
      </x:c>
      <x:c r="D309" s="15" t="str">
        <x:v>top_module</x:v>
      </x:c>
      <x:c r="E309" s="15" t="str">
        <x:v>a, b</x:v>
      </x:c>
      <x:c r="F309" s="15" t="str">
        <x:v>out</x:v>
      </x:c>
      <x:c r="G309" s="15" t="str">
        <x:v>HDL-013</x:v>
      </x:c>
      <x:c r="H309" s="26" t="str">
        <x:v>https://github.com/kapiltrip/hdlBits/blob/fc3f2b993a1e202ef42a8e831c29f8f287f85e7a/HDLBits%20Attempt%201/study/solutions/Day%2002/004-andgate.sv</x:v>
      </x:c>
      <x:c r="I309" s="15" t="str">
        <x:v>fc3f2b993a1e202ef42a8e831c29f8f287f85e7a</x:v>
      </x:c>
    </x:row>
    <x:row r="310" ht="54" customHeight="1">
      <x:c r="A310" s="4" t="str">
        <x:v>hdlBits</x:v>
      </x:c>
      <x:c r="B310" s="4" t="str">
        <x:v>HDLBits Attempt 1/study/solutions/Day 02/005-norgate.sv</x:v>
      </x:c>
      <x:c r="C310" s="4" t="str">
        <x:v>Empty RTL stub</x:v>
      </x:c>
      <x:c r="D310" s="4" t="str">
        <x:v>top_module</x:v>
      </x:c>
      <x:c r="E310" s="4" t="str">
        <x:v>a, b</x:v>
      </x:c>
      <x:c r="F310" s="4" t="str">
        <x:v>out</x:v>
      </x:c>
      <x:c r="G310" s="4" t="str">
        <x:v>HDL-014</x:v>
      </x:c>
      <x:c r="H310" s="25" t="str">
        <x:v>https://github.com/kapiltrip/hdlBits/blob/fc3f2b993a1e202ef42a8e831c29f8f287f85e7a/HDLBits%20Attempt%201/study/solutions/Day%2002/005-norgate.sv</x:v>
      </x:c>
      <x:c r="I310" s="4" t="str">
        <x:v>fc3f2b993a1e202ef42a8e831c29f8f287f85e7a</x:v>
      </x:c>
    </x:row>
    <x:row r="311" ht="54" customHeight="1">
      <x:c r="A311" s="15" t="str">
        <x:v>hdlBits</x:v>
      </x:c>
      <x:c r="B311" s="15" t="str">
        <x:v>HDLBits Attempt 1/study/solutions/Day 02/006-xnorgate.sv</x:v>
      </x:c>
      <x:c r="C311" s="15" t="str">
        <x:v>RTL</x:v>
      </x:c>
      <x:c r="D311" s="15" t="str">
        <x:v>top_module</x:v>
      </x:c>
      <x:c r="E311" s="15" t="str">
        <x:v>a, b</x:v>
      </x:c>
      <x:c r="F311" s="15" t="str">
        <x:v>out</x:v>
      </x:c>
      <x:c r="G311" s="15" t="str">
        <x:v>HDL-015</x:v>
      </x:c>
      <x:c r="H311" s="26" t="str">
        <x:v>https://github.com/kapiltrip/hdlBits/blob/fc3f2b993a1e202ef42a8e831c29f8f287f85e7a/HDLBits%20Attempt%201/study/solutions/Day%2002/006-xnorgate.sv</x:v>
      </x:c>
      <x:c r="I311" s="15" t="str">
        <x:v>fc3f2b993a1e202ef42a8e831c29f8f287f85e7a</x:v>
      </x:c>
    </x:row>
    <x:row r="312" ht="54" customHeight="1">
      <x:c r="A312" s="4" t="str">
        <x:v>hdlBits</x:v>
      </x:c>
      <x:c r="B312" s="4" t="str">
        <x:v>HDLBits Attempt 1/study/solutions/Day 02/007-wire_decl.sv</x:v>
      </x:c>
      <x:c r="C312" s="4" t="str">
        <x:v>Empty RTL stub</x:v>
      </x:c>
      <x:c r="D312" s="4" t="str">
        <x:v>top_module</x:v>
      </x:c>
      <x:c r="E312" s="4" t="str">
        <x:v>a, b, c, d</x:v>
      </x:c>
      <x:c r="F312" s="4" t="str">
        <x:v>out, out_n</x:v>
      </x:c>
      <x:c r="G312" s="4" t="str">
        <x:v>HDL-016</x:v>
      </x:c>
      <x:c r="H312" s="25" t="str">
        <x:v>https://github.com/kapiltrip/hdlBits/blob/fc3f2b993a1e202ef42a8e831c29f8f287f85e7a/HDLBits%20Attempt%201/study/solutions/Day%2002/007-wire_decl.sv</x:v>
      </x:c>
      <x:c r="I312" s="4" t="str">
        <x:v>fc3f2b993a1e202ef42a8e831c29f8f287f85e7a</x:v>
      </x:c>
    </x:row>
    <x:row r="313" ht="54" customHeight="1">
      <x:c r="A313" s="15" t="str">
        <x:v>hdlBits</x:v>
      </x:c>
      <x:c r="B313" s="15" t="str">
        <x:v>HDLBits Attempt 1/study/solutions/Day 02/017-vector5.sv</x:v>
      </x:c>
      <x:c r="C313" s="15" t="str">
        <x:v>RTL</x:v>
      </x:c>
      <x:c r="D313" s="15" t="str">
        <x:v>top_module</x:v>
      </x:c>
      <x:c r="E313" s="15" t="str">
        <x:v>a, b, c, d, e</x:v>
      </x:c>
      <x:c r="F313" s="15" t="str">
        <x:v>out</x:v>
      </x:c>
      <x:c r="G313" s="15" t="str">
        <x:v>HDL-017</x:v>
      </x:c>
      <x:c r="H313" s="26" t="str">
        <x:v>https://github.com/kapiltrip/hdlBits/blob/fc3f2b993a1e202ef42a8e831c29f8f287f85e7a/HDLBits%20Attempt%201/study/solutions/Day%2002/017-vector5.sv</x:v>
      </x:c>
      <x:c r="I313" s="15" t="str">
        <x:v>fc3f2b993a1e202ef42a8e831c29f8f287f85e7a</x:v>
      </x:c>
    </x:row>
    <x:row r="314" ht="54" customHeight="1">
      <x:c r="A314" s="4" t="str">
        <x:v>hdlBits</x:v>
      </x:c>
      <x:c r="B314" s="4" t="str">
        <x:v>HDLBits Attempt 1/study/solutions/Day 02/018-module.sv</x:v>
      </x:c>
      <x:c r="C314" s="4" t="str">
        <x:v>Empty RTL stub</x:v>
      </x:c>
      <x:c r="D314" s="4" t="str">
        <x:v>top_module</x:v>
      </x:c>
      <x:c r="E314" s="4" t="str">
        <x:v>a, b</x:v>
      </x:c>
      <x:c r="F314" s="4" t="str">
        <x:v>out</x:v>
      </x:c>
      <x:c r="G314" s="4" t="str">
        <x:v>HDL-018</x:v>
      </x:c>
      <x:c r="H314" s="25" t="str">
        <x:v>https://github.com/kapiltrip/hdlBits/blob/fc3f2b993a1e202ef42a8e831c29f8f287f85e7a/HDLBits%20Attempt%201/study/solutions/Day%2002/018-module.sv</x:v>
      </x:c>
      <x:c r="I314" s="4" t="str">
        <x:v>fc3f2b993a1e202ef42a8e831c29f8f287f85e7a</x:v>
      </x:c>
    </x:row>
    <x:row r="315" ht="54" customHeight="1">
      <x:c r="A315" s="15" t="str">
        <x:v>hdlBits</x:v>
      </x:c>
      <x:c r="B315" s="15" t="str">
        <x:v>HDLBits Attempt 1/study/solutions/Day 02/019-module_pos.sv</x:v>
      </x:c>
      <x:c r="C315" s="15" t="str">
        <x:v>RTL</x:v>
      </x:c>
      <x:c r="D315" s="15" t="str">
        <x:v>top_module</x:v>
      </x:c>
      <x:c r="E315" s="15" t="str">
        <x:v>a, b, c, d</x:v>
      </x:c>
      <x:c r="F315" s="15" t="str">
        <x:v>out1, out2</x:v>
      </x:c>
      <x:c r="G315" s="15" t="str">
        <x:v>HDL-019</x:v>
      </x:c>
      <x:c r="H315" s="26" t="str">
        <x:v>https://github.com/kapiltrip/hdlBits/blob/fc3f2b993a1e202ef42a8e831c29f8f287f85e7a/HDLBits%20Attempt%201/study/solutions/Day%2002/019-module_pos.sv</x:v>
      </x:c>
      <x:c r="I315" s="15" t="str">
        <x:v>fc3f2b993a1e202ef42a8e831c29f8f287f85e7a</x:v>
      </x:c>
    </x:row>
    <x:row r="316" ht="54" customHeight="1">
      <x:c r="A316" s="4" t="str">
        <x:v>hdlBits</x:v>
      </x:c>
      <x:c r="B316" s="4" t="str">
        <x:v>HDLBits Attempt 1/study/solutions/Day 02/020-module_name.sv</x:v>
      </x:c>
      <x:c r="C316" s="4" t="str">
        <x:v>Empty RTL stub</x:v>
      </x:c>
      <x:c r="D316" s="4" t="str">
        <x:v>top_module</x:v>
      </x:c>
      <x:c r="E316" s="4" t="str">
        <x:v>a, b, c, d</x:v>
      </x:c>
      <x:c r="F316" s="4" t="str">
        <x:v>out1, out2</x:v>
      </x:c>
      <x:c r="G316" s="4" t="str">
        <x:v>HDL-020</x:v>
      </x:c>
      <x:c r="H316" s="25" t="str">
        <x:v>https://github.com/kapiltrip/hdlBits/blob/fc3f2b993a1e202ef42a8e831c29f8f287f85e7a/HDLBits%20Attempt%201/study/solutions/Day%2002/020-module_name.sv</x:v>
      </x:c>
      <x:c r="I316" s="4" t="str">
        <x:v>fc3f2b993a1e202ef42a8e831c29f8f287f85e7a</x:v>
      </x:c>
    </x:row>
    <x:row r="317" ht="54" customHeight="1">
      <x:c r="A317" s="15" t="str">
        <x:v>hdlBits</x:v>
      </x:c>
      <x:c r="B317" s="15" t="str">
        <x:v>HDLBits Attempt 1/study/solutions/Day 02/021-module_shift.sv</x:v>
      </x:c>
      <x:c r="C317" s="15" t="str">
        <x:v>RTL</x:v>
      </x:c>
      <x:c r="D317" s="15" t="str">
        <x:v>top_module</x:v>
      </x:c>
      <x:c r="E317" s="15" t="str">
        <x:v>clk, d</x:v>
      </x:c>
      <x:c r="F317" s="15" t="str">
        <x:v>q</x:v>
      </x:c>
      <x:c r="G317" s="15" t="str">
        <x:v>HDL-021</x:v>
      </x:c>
      <x:c r="H317" s="26" t="str">
        <x:v>https://github.com/kapiltrip/hdlBits/blob/fc3f2b993a1e202ef42a8e831c29f8f287f85e7a/HDLBits%20Attempt%201/study/solutions/Day%2002/021-module_shift.sv</x:v>
      </x:c>
      <x:c r="I317" s="15" t="str">
        <x:v>fc3f2b993a1e202ef42a8e831c29f8f287f85e7a</x:v>
      </x:c>
    </x:row>
    <x:row r="318" ht="54" customHeight="1">
      <x:c r="A318" s="4" t="str">
        <x:v>hdlBits</x:v>
      </x:c>
      <x:c r="B318" s="4" t="str">
        <x:v>HDLBits Attempt 1/study/solutions/Day 02/022-module_shift8.sv</x:v>
      </x:c>
      <x:c r="C318" s="4" t="str">
        <x:v>Empty RTL stub</x:v>
      </x:c>
      <x:c r="D318" s="4" t="str">
        <x:v>top_module</x:v>
      </x:c>
      <x:c r="E318" s="4" t="str">
        <x:v>clk, d, sel</x:v>
      </x:c>
      <x:c r="F318" s="4" t="str">
        <x:v>q</x:v>
      </x:c>
      <x:c r="G318" s="4" t="str">
        <x:v>HDL-022</x:v>
      </x:c>
      <x:c r="H318" s="25" t="str">
        <x:v>https://github.com/kapiltrip/hdlBits/blob/fc3f2b993a1e202ef42a8e831c29f8f287f85e7a/HDLBits%20Attempt%201/study/solutions/Day%2002/022-module_shift8.sv</x:v>
      </x:c>
      <x:c r="I318" s="4" t="str">
        <x:v>fc3f2b993a1e202ef42a8e831c29f8f287f85e7a</x:v>
      </x:c>
    </x:row>
    <x:row r="319" ht="54" customHeight="1">
      <x:c r="A319" s="15" t="str">
        <x:v>hdlBits</x:v>
      </x:c>
      <x:c r="B319" s="15" t="str">
        <x:v>HDLBits Attempt 1/study/solutions/Day 02/023-module_add.sv</x:v>
      </x:c>
      <x:c r="C319" s="15" t="str">
        <x:v>RTL</x:v>
      </x:c>
      <x:c r="D319" s="15" t="str">
        <x:v>top_module</x:v>
      </x:c>
      <x:c r="E319" s="15" t="str">
        <x:v>a, b</x:v>
      </x:c>
      <x:c r="F319" s="15" t="str">
        <x:v>sum</x:v>
      </x:c>
      <x:c r="G319" s="15" t="str">
        <x:v>HDL-023</x:v>
      </x:c>
      <x:c r="H319" s="26" t="str">
        <x:v>https://github.com/kapiltrip/hdlBits/blob/fc3f2b993a1e202ef42a8e831c29f8f287f85e7a/HDLBits%20Attempt%201/study/solutions/Day%2002/023-module_add.sv</x:v>
      </x:c>
      <x:c r="I319" s="15" t="str">
        <x:v>fc3f2b993a1e202ef42a8e831c29f8f287f85e7a</x:v>
      </x:c>
    </x:row>
    <x:row r="320" ht="54" customHeight="1">
      <x:c r="A320" s="4" t="str">
        <x:v>hdlBits</x:v>
      </x:c>
      <x:c r="B320" s="4" t="str">
        <x:v>HDLBits Attempt 1/study/solutions/Day 02/024-module_fadd.sv</x:v>
      </x:c>
      <x:c r="C320" s="4" t="str">
        <x:v>Empty RTL stub</x:v>
      </x:c>
      <x:c r="D320" s="4" t="str">
        <x:v>top_module, add1</x:v>
      </x:c>
      <x:c r="E320" s="4" t="str">
        <x:v>a, b, cin</x:v>
      </x:c>
      <x:c r="F320" s="4" t="str">
        <x:v>sum, cout</x:v>
      </x:c>
      <x:c r="G320" s="4" t="str">
        <x:v>HDL-024</x:v>
      </x:c>
      <x:c r="H320" s="25" t="str">
        <x:v>https://github.com/kapiltrip/hdlBits/blob/fc3f2b993a1e202ef42a8e831c29f8f287f85e7a/HDLBits%20Attempt%201/study/solutions/Day%2002/024-module_fadd.sv</x:v>
      </x:c>
      <x:c r="I320" s="4" t="str">
        <x:v>fc3f2b993a1e202ef42a8e831c29f8f287f85e7a</x:v>
      </x:c>
    </x:row>
    <x:row r="321" ht="54" customHeight="1">
      <x:c r="A321" s="15" t="str">
        <x:v>hdlBits</x:v>
      </x:c>
      <x:c r="B321" s="15" t="str">
        <x:v>HDLBits Attempt 1/study/solutions/Day 02/025-module_cseladd.sv</x:v>
      </x:c>
      <x:c r="C321" s="15" t="str">
        <x:v>Empty RTL stub</x:v>
      </x:c>
      <x:c r="D321" s="15" t="str">
        <x:v>top_module</x:v>
      </x:c>
      <x:c r="E321" s="15" t="str">
        <x:v>a, b</x:v>
      </x:c>
      <x:c r="F321" s="15" t="str">
        <x:v>sum</x:v>
      </x:c>
      <x:c r="G321" s="15" t="str">
        <x:v>HDL-025</x:v>
      </x:c>
      <x:c r="H321" s="26" t="str">
        <x:v>https://github.com/kapiltrip/hdlBits/blob/fc3f2b993a1e202ef42a8e831c29f8f287f85e7a/HDLBits%20Attempt%201/study/solutions/Day%2002/025-module_cseladd.sv</x:v>
      </x:c>
      <x:c r="I321" s="15" t="str">
        <x:v>fc3f2b993a1e202ef42a8e831c29f8f287f85e7a</x:v>
      </x:c>
    </x:row>
    <x:row r="322" ht="54" customHeight="1">
      <x:c r="A322" s="4" t="str">
        <x:v>hdlBits</x:v>
      </x:c>
      <x:c r="B322" s="4" t="str">
        <x:v>HDLBits Attempt 1/study/solutions/Day 02/026-module_addsub.sv</x:v>
      </x:c>
      <x:c r="C322" s="4" t="str">
        <x:v>RTL</x:v>
      </x:c>
      <x:c r="D322" s="4" t="str">
        <x:v>top_module</x:v>
      </x:c>
      <x:c r="E322" s="4" t="str">
        <x:v>a, b, sub</x:v>
      </x:c>
      <x:c r="F322" s="4" t="str">
        <x:v>sum</x:v>
      </x:c>
      <x:c r="G322" s="4" t="str">
        <x:v>HDL-026</x:v>
      </x:c>
      <x:c r="H322" s="25" t="str">
        <x:v>https://github.com/kapiltrip/hdlBits/blob/fc3f2b993a1e202ef42a8e831c29f8f287f85e7a/HDLBits%20Attempt%201/study/solutions/Day%2002/026-module_addsub.sv</x:v>
      </x:c>
      <x:c r="I322" s="4" t="str">
        <x:v>fc3f2b993a1e202ef42a8e831c29f8f287f85e7a</x:v>
      </x:c>
    </x:row>
    <x:row r="323" ht="54" customHeight="1">
      <x:c r="A323" s="15" t="str">
        <x:v>hdlBits</x:v>
      </x:c>
      <x:c r="B323" s="15" t="str">
        <x:v>HDLBits Attempt 1/study/solutions/Day 02/027-alwaysblock1.sv</x:v>
      </x:c>
      <x:c r="C323" s="15" t="str">
        <x:v>RTL</x:v>
      </x:c>
      <x:c r="D323" s="15" t="str">
        <x:v>top_module</x:v>
      </x:c>
      <x:c r="E323" s="15" t="str">
        <x:v>a, b</x:v>
      </x:c>
      <x:c r="F323" s="15" t="str">
        <x:v>out_assign, out_alwaysblock</x:v>
      </x:c>
      <x:c r="G323" s="15" t="str">
        <x:v>HDL-027</x:v>
      </x:c>
      <x:c r="H323" s="26" t="str">
        <x:v>https://github.com/kapiltrip/hdlBits/blob/fc3f2b993a1e202ef42a8e831c29f8f287f85e7a/HDLBits%20Attempt%201/study/solutions/Day%2002/027-alwaysblock1.sv</x:v>
      </x:c>
      <x:c r="I323" s="15" t="str">
        <x:v>fc3f2b993a1e202ef42a8e831c29f8f287f85e7a</x:v>
      </x:c>
    </x:row>
    <x:row r="324" ht="54" customHeight="1">
      <x:c r="A324" s="4" t="str">
        <x:v>hdlBits</x:v>
      </x:c>
      <x:c r="B324" s="4" t="str">
        <x:v>HDLBits Attempt 1/study/solutions/Day 02/028-alwaysblock2.sv</x:v>
      </x:c>
      <x:c r="C324" s="4" t="str">
        <x:v>Empty RTL stub</x:v>
      </x:c>
      <x:c r="D324" s="4" t="str">
        <x:v>top_module</x:v>
      </x:c>
      <x:c r="E324" s="4" t="str">
        <x:v>clk, a, b</x:v>
      </x:c>
      <x:c r="F324" s="4" t="str">
        <x:v>out_assign, out_always_comb, out_always_ff</x:v>
      </x:c>
      <x:c r="G324" s="4" t="str">
        <x:v>HDL-028</x:v>
      </x:c>
      <x:c r="H324" s="25" t="str">
        <x:v>https://github.com/kapiltrip/hdlBits/blob/fc3f2b993a1e202ef42a8e831c29f8f287f85e7a/HDLBits%20Attempt%201/study/solutions/Day%2002/028-alwaysblock2.sv</x:v>
      </x:c>
      <x:c r="I324" s="4" t="str">
        <x:v>fc3f2b993a1e202ef42a8e831c29f8f287f85e7a</x:v>
      </x:c>
    </x:row>
    <x:row r="325" ht="54" customHeight="1">
      <x:c r="A325" s="15" t="str">
        <x:v>hdlBits</x:v>
      </x:c>
      <x:c r="B325" s="15" t="str">
        <x:v>HDLBits Attempt 1/study/solutions/Day 02/029-always_if.sv</x:v>
      </x:c>
      <x:c r="C325" s="15" t="str">
        <x:v>Empty RTL stub</x:v>
      </x:c>
      <x:c r="D325" s="15" t="str">
        <x:v>top_module</x:v>
      </x:c>
      <x:c r="E325" s="15" t="str">
        <x:v>a, b, sel_b1, sel_b2</x:v>
      </x:c>
      <x:c r="F325" s="15" t="str">
        <x:v>out_assign, out_always</x:v>
      </x:c>
      <x:c r="G325" s="15" t="str">
        <x:v>HDL-029</x:v>
      </x:c>
      <x:c r="H325" s="26" t="str">
        <x:v>https://github.com/kapiltrip/hdlBits/blob/fc3f2b993a1e202ef42a8e831c29f8f287f85e7a/HDLBits%20Attempt%201/study/solutions/Day%2002/029-always_if.sv</x:v>
      </x:c>
      <x:c r="I325" s="15" t="str">
        <x:v>fc3f2b993a1e202ef42a8e831c29f8f287f85e7a</x:v>
      </x:c>
    </x:row>
    <x:row r="326" ht="54" customHeight="1">
      <x:c r="A326" s="4" t="str">
        <x:v>hdlBits</x:v>
      </x:c>
      <x:c r="B326" s="4" t="str">
        <x:v>HDLBits Attempt 1/study/solutions/Day 02/030-always_if2.sv</x:v>
      </x:c>
      <x:c r="C326" s="4" t="str">
        <x:v>RTL</x:v>
      </x:c>
      <x:c r="D326" s="4" t="str">
        <x:v>top_module</x:v>
      </x:c>
      <x:c r="E326" s="4" t="str">
        <x:v>cpu_overheated, arrived, gas_tank_empty</x:v>
      </x:c>
      <x:c r="F326" s="4" t="str">
        <x:v>shut_off_computer, keep_driving</x:v>
      </x:c>
      <x:c r="G326" s="4" t="str">
        <x:v>HDL-030</x:v>
      </x:c>
      <x:c r="H326" s="25" t="str">
        <x:v>https://github.com/kapiltrip/hdlBits/blob/fc3f2b993a1e202ef42a8e831c29f8f287f85e7a/HDLBits%20Attempt%201/study/solutions/Day%2002/030-always_if2.sv</x:v>
      </x:c>
      <x:c r="I326" s="4" t="str">
        <x:v>fc3f2b993a1e202ef42a8e831c29f8f287f85e7a</x:v>
      </x:c>
    </x:row>
    <x:row r="327" ht="54" customHeight="1">
      <x:c r="A327" s="15" t="str">
        <x:v>hdlBits</x:v>
      </x:c>
      <x:c r="B327" s="15" t="str">
        <x:v>HDLBits Attempt 1/study/solutions/Day 02/031-always_case.sv</x:v>
      </x:c>
      <x:c r="C327" s="15" t="str">
        <x:v>RTL</x:v>
      </x:c>
      <x:c r="D327" s="15" t="str">
        <x:v>top_module</x:v>
      </x:c>
      <x:c r="E327" s="15" t="str">
        <x:v>sel, data0, data1, data2, data3, data4, data5</x:v>
      </x:c>
      <x:c r="F327" s="15" t="str">
        <x:v>out</x:v>
      </x:c>
      <x:c r="G327" s="15" t="str">
        <x:v>HDL-031</x:v>
      </x:c>
      <x:c r="H327" s="26" t="str">
        <x:v>https://github.com/kapiltrip/hdlBits/blob/fc3f2b993a1e202ef42a8e831c29f8f287f85e7a/HDLBits%20Attempt%201/study/solutions/Day%2002/031-always_case.sv</x:v>
      </x:c>
      <x:c r="I327" s="15" t="str">
        <x:v>fc3f2b993a1e202ef42a8e831c29f8f287f85e7a</x:v>
      </x:c>
    </x:row>
    <x:row r="328" ht="54" customHeight="1">
      <x:c r="A328" s="4" t="str">
        <x:v>hdlBits</x:v>
      </x:c>
      <x:c r="B328" s="4" t="str">
        <x:v>HDLBits Attempt 1/study/solutions/Day 02/032-always_case2.sv</x:v>
      </x:c>
      <x:c r="C328" s="4" t="str">
        <x:v>Empty RTL stub</x:v>
      </x:c>
      <x:c r="D328" s="4" t="str">
        <x:v>top_module</x:v>
      </x:c>
      <x:c r="E328" s="4" t="str">
        <x:v>in</x:v>
      </x:c>
      <x:c r="F328" s="4" t="str">
        <x:v>pos</x:v>
      </x:c>
      <x:c r="G328" s="4" t="str">
        <x:v>HDL-032</x:v>
      </x:c>
      <x:c r="H328" s="25" t="str">
        <x:v>https://github.com/kapiltrip/hdlBits/blob/fc3f2b993a1e202ef42a8e831c29f8f287f85e7a/HDLBits%20Attempt%201/study/solutions/Day%2002/032-always_case2.sv</x:v>
      </x:c>
      <x:c r="I328" s="4" t="str">
        <x:v>fc3f2b993a1e202ef42a8e831c29f8f287f85e7a</x:v>
      </x:c>
    </x:row>
    <x:row r="329" ht="54" customHeight="1">
      <x:c r="A329" s="15" t="str">
        <x:v>hdlBits</x:v>
      </x:c>
      <x:c r="B329" s="15" t="str">
        <x:v>HDLBits Attempt 1/study/solutions/Day 02/033-always_casez.sv</x:v>
      </x:c>
      <x:c r="C329" s="15" t="str">
        <x:v>RTL</x:v>
      </x:c>
      <x:c r="D329" s="15" t="str">
        <x:v>top_module</x:v>
      </x:c>
      <x:c r="E329" s="15" t="str">
        <x:v>in</x:v>
      </x:c>
      <x:c r="F329" s="15" t="str">
        <x:v>pos</x:v>
      </x:c>
      <x:c r="G329" s="15" t="str">
        <x:v>HDL-033</x:v>
      </x:c>
      <x:c r="H329" s="26" t="str">
        <x:v>https://github.com/kapiltrip/hdlBits/blob/fc3f2b993a1e202ef42a8e831c29f8f287f85e7a/HDLBits%20Attempt%201/study/solutions/Day%2002/033-always_casez.sv</x:v>
      </x:c>
      <x:c r="I329" s="15" t="str">
        <x:v>fc3f2b993a1e202ef42a8e831c29f8f287f85e7a</x:v>
      </x:c>
    </x:row>
    <x:row r="330" ht="54" customHeight="1">
      <x:c r="A330" s="4" t="str">
        <x:v>hdlBits</x:v>
      </x:c>
      <x:c r="B330" s="4" t="str">
        <x:v>HDLBits Attempt 1/study/solutions/Day 02/034-always_nolatches.sv</x:v>
      </x:c>
      <x:c r="C330" s="4" t="str">
        <x:v>RTL</x:v>
      </x:c>
      <x:c r="D330" s="4" t="str">
        <x:v>top_module</x:v>
      </x:c>
      <x:c r="E330" s="4" t="str">
        <x:v>scancode</x:v>
      </x:c>
      <x:c r="F330" s="4" t="str">
        <x:v>left, down, right, up</x:v>
      </x:c>
      <x:c r="G330" s="4" t="str">
        <x:v>HDL-034</x:v>
      </x:c>
      <x:c r="H330" s="25" t="str">
        <x:v>https://github.com/kapiltrip/hdlBits/blob/fc3f2b993a1e202ef42a8e831c29f8f287f85e7a/HDLBits%20Attempt%201/study/solutions/Day%2002/034-always_nolatches.sv</x:v>
      </x:c>
      <x:c r="I330" s="4" t="str">
        <x:v>fc3f2b993a1e202ef42a8e831c29f8f287f85e7a</x:v>
      </x:c>
    </x:row>
    <x:row r="331" ht="54" customHeight="1">
      <x:c r="A331" s="15" t="str">
        <x:v>hdlBits</x:v>
      </x:c>
      <x:c r="B331" s="15" t="str">
        <x:v>HDLBits Attempt 1/study/solutions/Day 02/035-conditional.sv</x:v>
      </x:c>
      <x:c r="C331" s="15" t="str">
        <x:v>RTL</x:v>
      </x:c>
      <x:c r="D331" s="15" t="str">
        <x:v>top_module</x:v>
      </x:c>
      <x:c r="E331" s="15" t="str">
        <x:v>a, b, c, d</x:v>
      </x:c>
      <x:c r="F331" s="15" t="str">
        <x:v>min</x:v>
      </x:c>
      <x:c r="G331" s="15" t="str">
        <x:v>HDL-035</x:v>
      </x:c>
      <x:c r="H331" s="26" t="str">
        <x:v>https://github.com/kapiltrip/hdlBits/blob/fc3f2b993a1e202ef42a8e831c29f8f287f85e7a/HDLBits%20Attempt%201/study/solutions/Day%2002/035-conditional.sv</x:v>
      </x:c>
      <x:c r="I331" s="15" t="str">
        <x:v>fc3f2b993a1e202ef42a8e831c29f8f287f85e7a</x:v>
      </x:c>
    </x:row>
    <x:row r="332" ht="54" customHeight="1">
      <x:c r="A332" s="4" t="str">
        <x:v>hdlBits</x:v>
      </x:c>
      <x:c r="B332" s="4" t="str">
        <x:v>HDLBits Attempt 1/study/solutions/Day 02/036-reduction.sv</x:v>
      </x:c>
      <x:c r="C332" s="4" t="str">
        <x:v>RTL</x:v>
      </x:c>
      <x:c r="D332" s="4" t="str">
        <x:v>top_module</x:v>
      </x:c>
      <x:c r="E332" s="4" t="str">
        <x:v>in</x:v>
      </x:c>
      <x:c r="F332" s="4" t="str">
        <x:v>parity</x:v>
      </x:c>
      <x:c r="G332" s="4" t="str">
        <x:v>HDL-036</x:v>
      </x:c>
      <x:c r="H332" s="25" t="str">
        <x:v>https://github.com/kapiltrip/hdlBits/blob/fc3f2b993a1e202ef42a8e831c29f8f287f85e7a/HDLBits%20Attempt%201/study/solutions/Day%2002/036-reduction.sv</x:v>
      </x:c>
      <x:c r="I332" s="4" t="str">
        <x:v>fc3f2b993a1e202ef42a8e831c29f8f287f85e7a</x:v>
      </x:c>
    </x:row>
    <x:row r="333" ht="54" customHeight="1">
      <x:c r="A333" s="15" t="str">
        <x:v>hdlBits</x:v>
      </x:c>
      <x:c r="B333" s="15" t="str">
        <x:v>HDLBits Attempt 1/study/solutions/Day 02/037-gates100.sv</x:v>
      </x:c>
      <x:c r="C333" s="15" t="str">
        <x:v>RTL</x:v>
      </x:c>
      <x:c r="D333" s="15" t="str">
        <x:v>top_module</x:v>
      </x:c>
      <x:c r="E333" s="15" t="str">
        <x:v>in</x:v>
      </x:c>
      <x:c r="F333" s="15" t="str">
        <x:v>out_and, out_or, out_xor</x:v>
      </x:c>
      <x:c r="G333" s="15" t="str">
        <x:v>HDL-037</x:v>
      </x:c>
      <x:c r="H333" s="26" t="str">
        <x:v>https://github.com/kapiltrip/hdlBits/blob/fc3f2b993a1e202ef42a8e831c29f8f287f85e7a/HDLBits%20Attempt%201/study/solutions/Day%2002/037-gates100.sv</x:v>
      </x:c>
      <x:c r="I333" s="15" t="str">
        <x:v>fc3f2b993a1e202ef42a8e831c29f8f287f85e7a</x:v>
      </x:c>
    </x:row>
    <x:row r="334" ht="54" customHeight="1">
      <x:c r="A334" s="4" t="str">
        <x:v>hdlBits</x:v>
      </x:c>
      <x:c r="B334" s="4" t="str">
        <x:v>HDLBits Attempt 1/study/solutions/Day 02/038-vector100r.sv</x:v>
      </x:c>
      <x:c r="C334" s="4" t="str">
        <x:v>RTL</x:v>
      </x:c>
      <x:c r="D334" s="4" t="str">
        <x:v>top_module</x:v>
      </x:c>
      <x:c r="E334" s="4" t="str">
        <x:v>in</x:v>
      </x:c>
      <x:c r="F334" s="4" t="str">
        <x:v>out</x:v>
      </x:c>
      <x:c r="G334" s="4" t="str">
        <x:v>HDL-038</x:v>
      </x:c>
      <x:c r="H334" s="25" t="str">
        <x:v>https://github.com/kapiltrip/hdlBits/blob/fc3f2b993a1e202ef42a8e831c29f8f287f85e7a/HDLBits%20Attempt%201/study/solutions/Day%2002/038-vector100r.sv</x:v>
      </x:c>
      <x:c r="I334" s="4" t="str">
        <x:v>fc3f2b993a1e202ef42a8e831c29f8f287f85e7a</x:v>
      </x:c>
    </x:row>
    <x:row r="335" ht="54" customHeight="1">
      <x:c r="A335" s="15" t="str">
        <x:v>hdlBits</x:v>
      </x:c>
      <x:c r="B335" s="15" t="str">
        <x:v>HDLBits Attempt 1/study/solutions/Day 02/039-popcount255.sv</x:v>
      </x:c>
      <x:c r="C335" s="15" t="str">
        <x:v>RTL</x:v>
      </x:c>
      <x:c r="D335" s="15" t="str">
        <x:v>top_module</x:v>
      </x:c>
      <x:c r="E335" s="15" t="str">
        <x:v>in</x:v>
      </x:c>
      <x:c r="F335" s="15" t="str">
        <x:v>out</x:v>
      </x:c>
      <x:c r="G335" s="15" t="str">
        <x:v>HDL-039</x:v>
      </x:c>
      <x:c r="H335" s="26" t="str">
        <x:v>https://github.com/kapiltrip/hdlBits/blob/fc3f2b993a1e202ef42a8e831c29f8f287f85e7a/HDLBits%20Attempt%201/study/solutions/Day%2002/039-popcount255.sv</x:v>
      </x:c>
      <x:c r="I335" s="15" t="str">
        <x:v>fc3f2b993a1e202ef42a8e831c29f8f287f85e7a</x:v>
      </x:c>
    </x:row>
    <x:row r="336" ht="54" customHeight="1">
      <x:c r="A336" s="4" t="str">
        <x:v>hdlBits</x:v>
      </x:c>
      <x:c r="B336" s="4" t="str">
        <x:v>HDLBits Attempt 1/study/solutions/Day 02/040-adder100i.sv</x:v>
      </x:c>
      <x:c r="C336" s="4" t="str">
        <x:v>RTL</x:v>
      </x:c>
      <x:c r="D336" s="4" t="str">
        <x:v>top_module, full_adder</x:v>
      </x:c>
      <x:c r="E336" s="4" t="str">
        <x:v>a, b, cin</x:v>
      </x:c>
      <x:c r="F336" s="4" t="str">
        <x:v>cout, sum</x:v>
      </x:c>
      <x:c r="G336" s="4" t="str">
        <x:v>HDL-040</x:v>
      </x:c>
      <x:c r="H336" s="25" t="str">
        <x:v>https://github.com/kapiltrip/hdlBits/blob/fc3f2b993a1e202ef42a8e831c29f8f287f85e7a/HDLBits%20Attempt%201/study/solutions/Day%2002/040-adder100i.sv</x:v>
      </x:c>
      <x:c r="I336" s="4" t="str">
        <x:v>fc3f2b993a1e202ef42a8e831c29f8f287f85e7a</x:v>
      </x:c>
    </x:row>
    <x:row r="337" ht="54" customHeight="1">
      <x:c r="A337" s="15" t="str">
        <x:v>hdlBits</x:v>
      </x:c>
      <x:c r="B337" s="15" t="str">
        <x:v>HDLBits Attempt 1/study/solutions/Day 02/042-exams__m2014_q4h.sv</x:v>
      </x:c>
      <x:c r="C337" s="15" t="str">
        <x:v>RTL</x:v>
      </x:c>
      <x:c r="D337" s="15" t="str">
        <x:v>top_module</x:v>
      </x:c>
      <x:c r="E337" s="15" t="str">
        <x:v>in</x:v>
      </x:c>
      <x:c r="F337" s="15" t="str">
        <x:v>out</x:v>
      </x:c>
      <x:c r="G337" s="15" t="str">
        <x:v>HDL-041</x:v>
      </x:c>
      <x:c r="H337" s="26" t="str">
        <x:v>https://github.com/kapiltrip/hdlBits/blob/fc3f2b993a1e202ef42a8e831c29f8f287f85e7a/HDLBits%20Attempt%201/study/solutions/Day%2002/042-exams__m2014_q4h.sv</x:v>
      </x:c>
      <x:c r="I337" s="15" t="str">
        <x:v>fc3f2b993a1e202ef42a8e831c29f8f287f85e7a</x:v>
      </x:c>
    </x:row>
    <x:row r="338" ht="54" customHeight="1">
      <x:c r="A338" s="4" t="str">
        <x:v>hdlBits</x:v>
      </x:c>
      <x:c r="B338" s="4" t="str">
        <x:v>HDLBits Attempt 1/study/solutions/Day 02/043-exams__m2014_q4i.sv</x:v>
      </x:c>
      <x:c r="C338" s="4" t="str">
        <x:v>RTL</x:v>
      </x:c>
      <x:c r="D338" s="4" t="str">
        <x:v>top_module</x:v>
      </x:c>
      <x:c r="E338" s="4" t="str"/>
      <x:c r="F338" s="4" t="str">
        <x:v>out</x:v>
      </x:c>
      <x:c r="G338" s="4" t="str">
        <x:v>HDL-042</x:v>
      </x:c>
      <x:c r="H338" s="25" t="str">
        <x:v>https://github.com/kapiltrip/hdlBits/blob/fc3f2b993a1e202ef42a8e831c29f8f287f85e7a/HDLBits%20Attempt%201/study/solutions/Day%2002/043-exams__m2014_q4i.sv</x:v>
      </x:c>
      <x:c r="I338" s="4" t="str">
        <x:v>fc3f2b993a1e202ef42a8e831c29f8f287f85e7a</x:v>
      </x:c>
    </x:row>
    <x:row r="339" ht="54" customHeight="1">
      <x:c r="A339" s="15" t="str">
        <x:v>hdlBits</x:v>
      </x:c>
      <x:c r="B339" s="15" t="str">
        <x:v>HDLBits Attempt 1/study/solutions/Day 02/044-exams__m2014_q4e.sv</x:v>
      </x:c>
      <x:c r="C339" s="15" t="str">
        <x:v>RTL</x:v>
      </x:c>
      <x:c r="D339" s="15" t="str">
        <x:v>top_module</x:v>
      </x:c>
      <x:c r="E339" s="15" t="str">
        <x:v>in1, in2</x:v>
      </x:c>
      <x:c r="F339" s="15" t="str">
        <x:v>out</x:v>
      </x:c>
      <x:c r="G339" s="15" t="str">
        <x:v>HDL-043</x:v>
      </x:c>
      <x:c r="H339" s="26" t="str">
        <x:v>https://github.com/kapiltrip/hdlBits/blob/fc3f2b993a1e202ef42a8e831c29f8f287f85e7a/HDLBits%20Attempt%201/study/solutions/Day%2002/044-exams__m2014_q4e.sv</x:v>
      </x:c>
      <x:c r="I339" s="15" t="str">
        <x:v>fc3f2b993a1e202ef42a8e831c29f8f287f85e7a</x:v>
      </x:c>
    </x:row>
    <x:row r="340" ht="54" customHeight="1">
      <x:c r="A340" s="4" t="str">
        <x:v>hdlBits</x:v>
      </x:c>
      <x:c r="B340" s="4" t="str">
        <x:v>HDLBits Attempt 1/study/solutions/Day 02/045-exams__m2014_q4f.sv</x:v>
      </x:c>
      <x:c r="C340" s="4" t="str">
        <x:v>RTL</x:v>
      </x:c>
      <x:c r="D340" s="4" t="str">
        <x:v>top_module</x:v>
      </x:c>
      <x:c r="E340" s="4" t="str">
        <x:v>in1, in2</x:v>
      </x:c>
      <x:c r="F340" s="4" t="str">
        <x:v>out</x:v>
      </x:c>
      <x:c r="G340" s="4" t="str">
        <x:v>HDL-044</x:v>
      </x:c>
      <x:c r="H340" s="25" t="str">
        <x:v>https://github.com/kapiltrip/hdlBits/blob/fc3f2b993a1e202ef42a8e831c29f8f287f85e7a/HDLBits%20Attempt%201/study/solutions/Day%2002/045-exams__m2014_q4f.sv</x:v>
      </x:c>
      <x:c r="I340" s="4" t="str">
        <x:v>fc3f2b993a1e202ef42a8e831c29f8f287f85e7a</x:v>
      </x:c>
    </x:row>
    <x:row r="341" ht="54" customHeight="1">
      <x:c r="A341" s="15" t="str">
        <x:v>hdlBits</x:v>
      </x:c>
      <x:c r="B341" s="15" t="str">
        <x:v>HDLBits Attempt 1/study/solutions/Day 02/046-exams__m2014_q4g.sv</x:v>
      </x:c>
      <x:c r="C341" s="15" t="str">
        <x:v>RTL</x:v>
      </x:c>
      <x:c r="D341" s="15" t="str">
        <x:v>top_module</x:v>
      </x:c>
      <x:c r="E341" s="15" t="str">
        <x:v>in1, in2, in3</x:v>
      </x:c>
      <x:c r="F341" s="15" t="str">
        <x:v>out</x:v>
      </x:c>
      <x:c r="G341" s="15" t="str">
        <x:v>HDL-045</x:v>
      </x:c>
      <x:c r="H341" s="26" t="str">
        <x:v>https://github.com/kapiltrip/hdlBits/blob/fc3f2b993a1e202ef42a8e831c29f8f287f85e7a/HDLBits%20Attempt%201/study/solutions/Day%2002/046-exams__m2014_q4g.sv</x:v>
      </x:c>
      <x:c r="I341" s="15" t="str">
        <x:v>fc3f2b993a1e202ef42a8e831c29f8f287f85e7a</x:v>
      </x:c>
    </x:row>
    <x:row r="342" ht="54" customHeight="1">
      <x:c r="A342" s="4" t="str">
        <x:v>hdlBits</x:v>
      </x:c>
      <x:c r="B342" s="4" t="str">
        <x:v>HDLBits Attempt 1/study/solutions/Day 02/065-fadd.sv</x:v>
      </x:c>
      <x:c r="C342" s="4" t="str">
        <x:v>RTL</x:v>
      </x:c>
      <x:c r="D342" s="4" t="str">
        <x:v>top_module</x:v>
      </x:c>
      <x:c r="E342" s="4" t="str">
        <x:v>a, b, cin</x:v>
      </x:c>
      <x:c r="F342" s="4" t="str">
        <x:v>cout, sum</x:v>
      </x:c>
      <x:c r="G342" s="4" t="str">
        <x:v>HDL-046</x:v>
      </x:c>
      <x:c r="H342" s="25" t="str">
        <x:v>https://github.com/kapiltrip/hdlBits/blob/fc3f2b993a1e202ef42a8e831c29f8f287f85e7a/HDLBits%20Attempt%201/study/solutions/Day%2002/065-fadd.sv</x:v>
      </x:c>
      <x:c r="I342" s="4" t="str">
        <x:v>fc3f2b993a1e202ef42a8e831c29f8f287f85e7a</x:v>
      </x:c>
    </x:row>
    <x:row r="343" ht="54" customHeight="1">
      <x:c r="A343" s="15" t="str">
        <x:v>hdlBits</x:v>
      </x:c>
      <x:c r="B343" s="15" t="str">
        <x:v>HDLBits Attempt 1/study/solutions/Day 03/041-bcdadd100.sv</x:v>
      </x:c>
      <x:c r="C343" s="15" t="str">
        <x:v>Empty RTL stub</x:v>
      </x:c>
      <x:c r="D343" s="15" t="str">
        <x:v>top_module</x:v>
      </x:c>
      <x:c r="E343" s="15" t="str">
        <x:v>a, b, cin</x:v>
      </x:c>
      <x:c r="F343" s="15" t="str">
        <x:v>cout, sum</x:v>
      </x:c>
      <x:c r="G343" s="15" t="str">
        <x:v>HDL-047</x:v>
      </x:c>
      <x:c r="H343" s="26" t="str">
        <x:v>https://github.com/kapiltrip/hdlBits/blob/fc3f2b993a1e202ef42a8e831c29f8f287f85e7a/HDLBits%20Attempt%201/study/solutions/Day%2003/041-bcdadd100.sv</x:v>
      </x:c>
      <x:c r="I343" s="15" t="str">
        <x:v>fc3f2b993a1e202ef42a8e831c29f8f287f85e7a</x:v>
      </x:c>
    </x:row>
    <x:row r="344" ht="54" customHeight="1">
      <x:c r="A344" s="4" t="str">
        <x:v>hdlBits</x:v>
      </x:c>
      <x:c r="B344" s="4" t="str">
        <x:v>HDLBits Attempt 1/study/solutions/Day 03/047-gates.sv</x:v>
      </x:c>
      <x:c r="C344" s="4" t="str">
        <x:v>RTL</x:v>
      </x:c>
      <x:c r="D344" s="4" t="str">
        <x:v>top_module</x:v>
      </x:c>
      <x:c r="E344" s="4" t="str">
        <x:v>a, b</x:v>
      </x:c>
      <x:c r="F344" s="4" t="str">
        <x:v>out_and, out_or, out_xor, out_nand, out_nor, out_xnor, out_anotb</x:v>
      </x:c>
      <x:c r="G344" s="4" t="str">
        <x:v>HDL-048</x:v>
      </x:c>
      <x:c r="H344" s="25" t="str">
        <x:v>https://github.com/kapiltrip/hdlBits/blob/fc3f2b993a1e202ef42a8e831c29f8f287f85e7a/HDLBits%20Attempt%201/study/solutions/Day%2003/047-gates.sv</x:v>
      </x:c>
      <x:c r="I344" s="4" t="str">
        <x:v>fc3f2b993a1e202ef42a8e831c29f8f287f85e7a</x:v>
      </x:c>
    </x:row>
    <x:row r="345" ht="54" customHeight="1">
      <x:c r="A345" s="15" t="str">
        <x:v>hdlBits</x:v>
      </x:c>
      <x:c r="B345" s="15" t="str">
        <x:v>HDLBits Attempt 1/study/solutions/Day 03/048-7420.sv</x:v>
      </x:c>
      <x:c r="C345" s="15" t="str">
        <x:v>Empty RTL stub</x:v>
      </x:c>
      <x:c r="D345" s="15" t="str">
        <x:v>top_module</x:v>
      </x:c>
      <x:c r="E345" s="15" t="str">
        <x:v>p1a, p1b, p1c, p1d, p2a, p2b, p2c, p2d</x:v>
      </x:c>
      <x:c r="F345" s="15" t="str">
        <x:v>p1y, p2y</x:v>
      </x:c>
      <x:c r="G345" s="15" t="str">
        <x:v>HDL-049</x:v>
      </x:c>
      <x:c r="H345" s="26" t="str">
        <x:v>https://github.com/kapiltrip/hdlBits/blob/fc3f2b993a1e202ef42a8e831c29f8f287f85e7a/HDLBits%20Attempt%201/study/solutions/Day%2003/048-7420.sv</x:v>
      </x:c>
      <x:c r="I345" s="15" t="str">
        <x:v>fc3f2b993a1e202ef42a8e831c29f8f287f85e7a</x:v>
      </x:c>
    </x:row>
    <x:row r="346" ht="54" customHeight="1">
      <x:c r="A346" s="4" t="str">
        <x:v>hdlBits</x:v>
      </x:c>
      <x:c r="B346" s="4" t="str">
        <x:v>HDLBits Attempt 1/study/solutions/Day 03/049-truthtable1.sv</x:v>
      </x:c>
      <x:c r="C346" s="4" t="str">
        <x:v>Empty RTL stub</x:v>
      </x:c>
      <x:c r="D346" s="4" t="str">
        <x:v>top_module</x:v>
      </x:c>
      <x:c r="E346" s="4" t="str">
        <x:v>x3, x2, x1</x:v>
      </x:c>
      <x:c r="F346" s="4" t="str">
        <x:v>f</x:v>
      </x:c>
      <x:c r="G346" s="4" t="str">
        <x:v>HDL-050</x:v>
      </x:c>
      <x:c r="H346" s="25" t="str">
        <x:v>https://github.com/kapiltrip/hdlBits/blob/fc3f2b993a1e202ef42a8e831c29f8f287f85e7a/HDLBits%20Attempt%201/study/solutions/Day%2003/049-truthtable1.sv</x:v>
      </x:c>
      <x:c r="I346" s="4" t="str">
        <x:v>fc3f2b993a1e202ef42a8e831c29f8f287f85e7a</x:v>
      </x:c>
    </x:row>
    <x:row r="347" ht="54" customHeight="1">
      <x:c r="A347" s="15" t="str">
        <x:v>hdlBits</x:v>
      </x:c>
      <x:c r="B347" s="15" t="str">
        <x:v>HDLBits Attempt 1/study/solutions/Day 03/050-mt2015_eq2.sv</x:v>
      </x:c>
      <x:c r="C347" s="15" t="str">
        <x:v>Empty RTL stub</x:v>
      </x:c>
      <x:c r="D347" s="15" t="str">
        <x:v>top_module</x:v>
      </x:c>
      <x:c r="E347" s="15" t="str">
        <x:v>A, B</x:v>
      </x:c>
      <x:c r="F347" s="15" t="str">
        <x:v>z</x:v>
      </x:c>
      <x:c r="G347" s="15" t="str">
        <x:v>HDL-051</x:v>
      </x:c>
      <x:c r="H347" s="26" t="str">
        <x:v>https://github.com/kapiltrip/hdlBits/blob/fc3f2b993a1e202ef42a8e831c29f8f287f85e7a/HDLBits%20Attempt%201/study/solutions/Day%2003/050-mt2015_eq2.sv</x:v>
      </x:c>
      <x:c r="I347" s="15" t="str">
        <x:v>fc3f2b993a1e202ef42a8e831c29f8f287f85e7a</x:v>
      </x:c>
    </x:row>
    <x:row r="348" ht="54" customHeight="1">
      <x:c r="A348" s="4" t="str">
        <x:v>hdlBits</x:v>
      </x:c>
      <x:c r="B348" s="4" t="str">
        <x:v>HDLBits Attempt 1/study/solutions/Day 03/051-mt2015_q4a.sv</x:v>
      </x:c>
      <x:c r="C348" s="4" t="str">
        <x:v>RTL</x:v>
      </x:c>
      <x:c r="D348" s="4" t="str">
        <x:v>top_module</x:v>
      </x:c>
      <x:c r="E348" s="4" t="str">
        <x:v>x, y</x:v>
      </x:c>
      <x:c r="F348" s="4" t="str">
        <x:v>z</x:v>
      </x:c>
      <x:c r="G348" s="4" t="str">
        <x:v>HDL-052</x:v>
      </x:c>
      <x:c r="H348" s="25" t="str">
        <x:v>https://github.com/kapiltrip/hdlBits/blob/fc3f2b993a1e202ef42a8e831c29f8f287f85e7a/HDLBits%20Attempt%201/study/solutions/Day%2003/051-mt2015_q4a.sv</x:v>
      </x:c>
      <x:c r="I348" s="4" t="str">
        <x:v>fc3f2b993a1e202ef42a8e831c29f8f287f85e7a</x:v>
      </x:c>
    </x:row>
    <x:row r="349" ht="54" customHeight="1">
      <x:c r="A349" s="15" t="str">
        <x:v>hdlBits</x:v>
      </x:c>
      <x:c r="B349" s="15" t="str">
        <x:v>HDLBits Attempt 1/study/solutions/Day 03/052-mt2015_q4b.sv</x:v>
      </x:c>
      <x:c r="C349" s="15" t="str">
        <x:v>RTL</x:v>
      </x:c>
      <x:c r="D349" s="15" t="str">
        <x:v>top_module</x:v>
      </x:c>
      <x:c r="E349" s="15" t="str">
        <x:v>x, y</x:v>
      </x:c>
      <x:c r="F349" s="15" t="str">
        <x:v>z</x:v>
      </x:c>
      <x:c r="G349" s="15" t="str">
        <x:v>HDL-053</x:v>
      </x:c>
      <x:c r="H349" s="26" t="str">
        <x:v>https://github.com/kapiltrip/hdlBits/blob/fc3f2b993a1e202ef42a8e831c29f8f287f85e7a/HDLBits%20Attempt%201/study/solutions/Day%2003/052-mt2015_q4b.sv</x:v>
      </x:c>
      <x:c r="I349" s="15" t="str">
        <x:v>fc3f2b993a1e202ef42a8e831c29f8f287f85e7a</x:v>
      </x:c>
    </x:row>
    <x:row r="350" ht="54" customHeight="1">
      <x:c r="A350" s="4" t="str">
        <x:v>hdlBits</x:v>
      </x:c>
      <x:c r="B350" s="4" t="str">
        <x:v>HDLBits Attempt 1/study/solutions/Day 03/053-mt2015_q4.sv</x:v>
      </x:c>
      <x:c r="C350" s="4" t="str">
        <x:v>RTL</x:v>
      </x:c>
      <x:c r="D350" s="4" t="str">
        <x:v>top_module, A, B</x:v>
      </x:c>
      <x:c r="E350" s="4" t="str">
        <x:v>x, y</x:v>
      </x:c>
      <x:c r="F350" s="4" t="str">
        <x:v>z</x:v>
      </x:c>
      <x:c r="G350" s="4" t="str">
        <x:v>HDL-054</x:v>
      </x:c>
      <x:c r="H350" s="25" t="str">
        <x:v>https://github.com/kapiltrip/hdlBits/blob/fc3f2b993a1e202ef42a8e831c29f8f287f85e7a/HDLBits%20Attempt%201/study/solutions/Day%2003/053-mt2015_q4.sv</x:v>
      </x:c>
      <x:c r="I350" s="4" t="str">
        <x:v>fc3f2b993a1e202ef42a8e831c29f8f287f85e7a</x:v>
      </x:c>
    </x:row>
    <x:row r="351" ht="54" customHeight="1">
      <x:c r="A351" s="15" t="str">
        <x:v>hdlBits</x:v>
      </x:c>
      <x:c r="B351" s="15" t="str">
        <x:v>HDLBits Attempt 1/study/solutions/Day 03/054-ringer.sv</x:v>
      </x:c>
      <x:c r="C351" s="15" t="str">
        <x:v>RTL</x:v>
      </x:c>
      <x:c r="D351" s="15" t="str">
        <x:v>top_module</x:v>
      </x:c>
      <x:c r="E351" s="15" t="str">
        <x:v>ring, vibrate_mode</x:v>
      </x:c>
      <x:c r="F351" s="15" t="str">
        <x:v>ringer, motor</x:v>
      </x:c>
      <x:c r="G351" s="15" t="str">
        <x:v>HDL-055</x:v>
      </x:c>
      <x:c r="H351" s="26" t="str">
        <x:v>https://github.com/kapiltrip/hdlBits/blob/fc3f2b993a1e202ef42a8e831c29f8f287f85e7a/HDLBits%20Attempt%201/study/solutions/Day%2003/054-ringer.sv</x:v>
      </x:c>
      <x:c r="I351" s="15" t="str">
        <x:v>fc3f2b993a1e202ef42a8e831c29f8f287f85e7a</x:v>
      </x:c>
    </x:row>
    <x:row r="352" ht="54" customHeight="1">
      <x:c r="A352" s="4" t="str">
        <x:v>hdlBits</x:v>
      </x:c>
      <x:c r="B352" s="4" t="str">
        <x:v>HDLBits Attempt 1/study/solutions/Day 03/055-thermostat.sv</x:v>
      </x:c>
      <x:c r="C352" s="4" t="str">
        <x:v>RTL</x:v>
      </x:c>
      <x:c r="D352" s="4" t="str">
        <x:v>top_module</x:v>
      </x:c>
      <x:c r="E352" s="4" t="str">
        <x:v>too_cold, too_hot, mode, fan_on</x:v>
      </x:c>
      <x:c r="F352" s="4" t="str">
        <x:v>heater, aircon, fan</x:v>
      </x:c>
      <x:c r="G352" s="4" t="str">
        <x:v>HDL-056</x:v>
      </x:c>
      <x:c r="H352" s="25" t="str">
        <x:v>https://github.com/kapiltrip/hdlBits/blob/fc3f2b993a1e202ef42a8e831c29f8f287f85e7a/HDLBits%20Attempt%201/study/solutions/Day%2003/055-thermostat.sv</x:v>
      </x:c>
      <x:c r="I352" s="4" t="str">
        <x:v>fc3f2b993a1e202ef42a8e831c29f8f287f85e7a</x:v>
      </x:c>
    </x:row>
    <x:row r="353" ht="54" customHeight="1">
      <x:c r="A353" s="15" t="str">
        <x:v>hdlBits</x:v>
      </x:c>
      <x:c r="B353" s="15" t="str">
        <x:v>HDLBits Attempt 1/study/solutions/Day 03/056-popcount3.sv</x:v>
      </x:c>
      <x:c r="C353" s="15" t="str">
        <x:v>RTL</x:v>
      </x:c>
      <x:c r="D353" s="15" t="str">
        <x:v>top_module</x:v>
      </x:c>
      <x:c r="E353" s="15" t="str">
        <x:v>in</x:v>
      </x:c>
      <x:c r="F353" s="15" t="str">
        <x:v>out</x:v>
      </x:c>
      <x:c r="G353" s="15" t="str">
        <x:v>HDL-057</x:v>
      </x:c>
      <x:c r="H353" s="26" t="str">
        <x:v>https://github.com/kapiltrip/hdlBits/blob/fc3f2b993a1e202ef42a8e831c29f8f287f85e7a/HDLBits%20Attempt%201/study/solutions/Day%2003/056-popcount3.sv</x:v>
      </x:c>
      <x:c r="I353" s="15" t="str">
        <x:v>fc3f2b993a1e202ef42a8e831c29f8f287f85e7a</x:v>
      </x:c>
    </x:row>
    <x:row r="354" ht="54" customHeight="1">
      <x:c r="A354" s="4" t="str">
        <x:v>hdlBits</x:v>
      </x:c>
      <x:c r="B354" s="4" t="str">
        <x:v>HDLBits Attempt 1/study/solutions/Day 03/057-gatesv.sv</x:v>
      </x:c>
      <x:c r="C354" s="4" t="str">
        <x:v>RTL</x:v>
      </x:c>
      <x:c r="D354" s="4" t="str">
        <x:v>top_module</x:v>
      </x:c>
      <x:c r="E354" s="4" t="str">
        <x:v>in</x:v>
      </x:c>
      <x:c r="F354" s="4" t="str">
        <x:v>out_both, out_any, out_different</x:v>
      </x:c>
      <x:c r="G354" s="4" t="str">
        <x:v>HDL-058</x:v>
      </x:c>
      <x:c r="H354" s="25" t="str">
        <x:v>https://github.com/kapiltrip/hdlBits/blob/fc3f2b993a1e202ef42a8e831c29f8f287f85e7a/HDLBits%20Attempt%201/study/solutions/Day%2003/057-gatesv.sv</x:v>
      </x:c>
      <x:c r="I354" s="4" t="str">
        <x:v>fc3f2b993a1e202ef42a8e831c29f8f287f85e7a</x:v>
      </x:c>
    </x:row>
    <x:row r="355" ht="54" customHeight="1">
      <x:c r="A355" s="15" t="str">
        <x:v>hdlBits</x:v>
      </x:c>
      <x:c r="B355" s="15" t="str">
        <x:v>HDLBits Attempt 1/study/solutions/Day 03/058-gatesv100.sv</x:v>
      </x:c>
      <x:c r="C355" s="15" t="str">
        <x:v>Empty RTL stub</x:v>
      </x:c>
      <x:c r="D355" s="15" t="str">
        <x:v>top_module</x:v>
      </x:c>
      <x:c r="E355" s="15" t="str">
        <x:v>in</x:v>
      </x:c>
      <x:c r="F355" s="15" t="str">
        <x:v>out_both, out_any, out_different</x:v>
      </x:c>
      <x:c r="G355" s="15" t="str">
        <x:v>HDL-059</x:v>
      </x:c>
      <x:c r="H355" s="26" t="str">
        <x:v>https://github.com/kapiltrip/hdlBits/blob/fc3f2b993a1e202ef42a8e831c29f8f287f85e7a/HDLBits%20Attempt%201/study/solutions/Day%2003/058-gatesv100.sv</x:v>
      </x:c>
      <x:c r="I355" s="15" t="str">
        <x:v>fc3f2b993a1e202ef42a8e831c29f8f287f85e7a</x:v>
      </x:c>
    </x:row>
    <x:row r="356" ht="54" customHeight="1">
      <x:c r="A356" s="4" t="str">
        <x:v>hdlBits</x:v>
      </x:c>
      <x:c r="B356" s="4" t="str">
        <x:v>HDLBits Attempt 1/study/solutions/Day 03/059-mux2to1.sv</x:v>
      </x:c>
      <x:c r="C356" s="4" t="str">
        <x:v>Empty RTL stub</x:v>
      </x:c>
      <x:c r="D356" s="4" t="str">
        <x:v>top_module</x:v>
      </x:c>
      <x:c r="E356" s="4" t="str">
        <x:v>a, b, sel</x:v>
      </x:c>
      <x:c r="F356" s="4" t="str">
        <x:v>out</x:v>
      </x:c>
      <x:c r="G356" s="4" t="str">
        <x:v>HDL-060</x:v>
      </x:c>
      <x:c r="H356" s="25" t="str">
        <x:v>https://github.com/kapiltrip/hdlBits/blob/fc3f2b993a1e202ef42a8e831c29f8f287f85e7a/HDLBits%20Attempt%201/study/solutions/Day%2003/059-mux2to1.sv</x:v>
      </x:c>
      <x:c r="I356" s="4" t="str">
        <x:v>fc3f2b993a1e202ef42a8e831c29f8f287f85e7a</x:v>
      </x:c>
    </x:row>
    <x:row r="357" ht="54" customHeight="1">
      <x:c r="A357" s="15" t="str">
        <x:v>hdlBits</x:v>
      </x:c>
      <x:c r="B357" s="15" t="str">
        <x:v>HDLBits Attempt 1/study/solutions/Day 03/060-mux2to1v.sv</x:v>
      </x:c>
      <x:c r="C357" s="15" t="str">
        <x:v>Empty RTL stub</x:v>
      </x:c>
      <x:c r="D357" s="15" t="str">
        <x:v>top_module</x:v>
      </x:c>
      <x:c r="E357" s="15" t="str">
        <x:v>a, b, sel</x:v>
      </x:c>
      <x:c r="F357" s="15" t="str">
        <x:v>out</x:v>
      </x:c>
      <x:c r="G357" s="15" t="str">
        <x:v>HDL-061</x:v>
      </x:c>
      <x:c r="H357" s="26" t="str">
        <x:v>https://github.com/kapiltrip/hdlBits/blob/fc3f2b993a1e202ef42a8e831c29f8f287f85e7a/HDLBits%20Attempt%201/study/solutions/Day%2003/060-mux2to1v.sv</x:v>
      </x:c>
      <x:c r="I357" s="15" t="str">
        <x:v>fc3f2b993a1e202ef42a8e831c29f8f287f85e7a</x:v>
      </x:c>
    </x:row>
    <x:row r="358" ht="54" customHeight="1">
      <x:c r="A358" s="4" t="str">
        <x:v>hdlBits</x:v>
      </x:c>
      <x:c r="B358" s="4" t="str">
        <x:v>HDLBits Attempt 1/study/solutions/Day 03/061-mux9to1v.sv</x:v>
      </x:c>
      <x:c r="C358" s="4" t="str">
        <x:v>Empty RTL stub</x:v>
      </x:c>
      <x:c r="D358" s="4" t="str">
        <x:v>top_module</x:v>
      </x:c>
      <x:c r="E358" s="4" t="str">
        <x:v>a, b, c, d, e, f, g, h, i, sel</x:v>
      </x:c>
      <x:c r="F358" s="4" t="str">
        <x:v>out</x:v>
      </x:c>
      <x:c r="G358" s="4" t="str">
        <x:v>HDL-062</x:v>
      </x:c>
      <x:c r="H358" s="25" t="str">
        <x:v>https://github.com/kapiltrip/hdlBits/blob/fc3f2b993a1e202ef42a8e831c29f8f287f85e7a/HDLBits%20Attempt%201/study/solutions/Day%2003/061-mux9to1v.sv</x:v>
      </x:c>
      <x:c r="I358" s="4" t="str">
        <x:v>fc3f2b993a1e202ef42a8e831c29f8f287f85e7a</x:v>
      </x:c>
    </x:row>
    <x:row r="359" ht="54" customHeight="1">
      <x:c r="A359" s="15" t="str">
        <x:v>hdlBits</x:v>
      </x:c>
      <x:c r="B359" s="15" t="str">
        <x:v>HDLBits Attempt 1/study/solutions/Day 03/062-mux256to1.sv</x:v>
      </x:c>
      <x:c r="C359" s="15" t="str">
        <x:v>Empty RTL stub</x:v>
      </x:c>
      <x:c r="D359" s="15" t="str">
        <x:v>top_module</x:v>
      </x:c>
      <x:c r="E359" s="15" t="str">
        <x:v>in, sel</x:v>
      </x:c>
      <x:c r="F359" s="15" t="str">
        <x:v>out</x:v>
      </x:c>
      <x:c r="G359" s="15" t="str">
        <x:v>HDL-063</x:v>
      </x:c>
      <x:c r="H359" s="26" t="str">
        <x:v>https://github.com/kapiltrip/hdlBits/blob/fc3f2b993a1e202ef42a8e831c29f8f287f85e7a/HDLBits%20Attempt%201/study/solutions/Day%2003/062-mux256to1.sv</x:v>
      </x:c>
      <x:c r="I359" s="15" t="str">
        <x:v>fc3f2b993a1e202ef42a8e831c29f8f287f85e7a</x:v>
      </x:c>
    </x:row>
    <x:row r="360" ht="54" customHeight="1">
      <x:c r="A360" s="4" t="str">
        <x:v>hdlBits</x:v>
      </x:c>
      <x:c r="B360" s="4" t="str">
        <x:v>HDLBits Attempt 1/study/solutions/Day 03/063-mux256to1v.sv</x:v>
      </x:c>
      <x:c r="C360" s="4" t="str">
        <x:v>RTL</x:v>
      </x:c>
      <x:c r="D360" s="4" t="str">
        <x:v>top_module</x:v>
      </x:c>
      <x:c r="E360" s="4" t="str">
        <x:v>in, sel</x:v>
      </x:c>
      <x:c r="F360" s="4" t="str">
        <x:v>out</x:v>
      </x:c>
      <x:c r="G360" s="4" t="str">
        <x:v>HDL-064</x:v>
      </x:c>
      <x:c r="H360" s="25" t="str">
        <x:v>https://github.com/kapiltrip/hdlBits/blob/fc3f2b993a1e202ef42a8e831c29f8f287f85e7a/HDLBits%20Attempt%201/study/solutions/Day%2003/063-mux256to1v.sv</x:v>
      </x:c>
      <x:c r="I360" s="4" t="str">
        <x:v>fc3f2b993a1e202ef42a8e831c29f8f287f85e7a</x:v>
      </x:c>
    </x:row>
    <x:row r="361" ht="54" customHeight="1">
      <x:c r="A361" s="15" t="str">
        <x:v>hdlBits</x:v>
      </x:c>
      <x:c r="B361" s="15" t="str">
        <x:v>HDLBits Attempt 1/study/solutions/Day 03/064-hadd.sv</x:v>
      </x:c>
      <x:c r="C361" s="15" t="str">
        <x:v>RTL</x:v>
      </x:c>
      <x:c r="D361" s="15" t="str">
        <x:v>top_module</x:v>
      </x:c>
      <x:c r="E361" s="15" t="str">
        <x:v>a, b</x:v>
      </x:c>
      <x:c r="F361" s="15" t="str">
        <x:v>cout, sum</x:v>
      </x:c>
      <x:c r="G361" s="15" t="str">
        <x:v>HDL-065</x:v>
      </x:c>
      <x:c r="H361" s="26" t="str">
        <x:v>https://github.com/kapiltrip/hdlBits/blob/fc3f2b993a1e202ef42a8e831c29f8f287f85e7a/HDLBits%20Attempt%201/study/solutions/Day%2003/064-hadd.sv</x:v>
      </x:c>
      <x:c r="I361" s="15" t="str">
        <x:v>fc3f2b993a1e202ef42a8e831c29f8f287f85e7a</x:v>
      </x:c>
    </x:row>
    <x:row r="362" ht="54" customHeight="1">
      <x:c r="A362" s="4" t="str">
        <x:v>hdlBits</x:v>
      </x:c>
      <x:c r="B362" s="4" t="str">
        <x:v>HDLBits Attempt 1/study/solutions/Day 03/066-adder3.sv</x:v>
      </x:c>
      <x:c r="C362" s="4" t="str">
        <x:v>RTL</x:v>
      </x:c>
      <x:c r="D362" s="4" t="str">
        <x:v>top_module, fa</x:v>
      </x:c>
      <x:c r="E362" s="4" t="str">
        <x:v>a, b, cin</x:v>
      </x:c>
      <x:c r="F362" s="4" t="str">
        <x:v>cout, sum</x:v>
      </x:c>
      <x:c r="G362" s="4" t="str">
        <x:v>HDL-066</x:v>
      </x:c>
      <x:c r="H362" s="25" t="str">
        <x:v>https://github.com/kapiltrip/hdlBits/blob/fc3f2b993a1e202ef42a8e831c29f8f287f85e7a/HDLBits%20Attempt%201/study/solutions/Day%2003/066-adder3.sv</x:v>
      </x:c>
      <x:c r="I362" s="4" t="str">
        <x:v>fc3f2b993a1e202ef42a8e831c29f8f287f85e7a</x:v>
      </x:c>
    </x:row>
    <x:row r="363" ht="54" customHeight="1">
      <x:c r="A363" s="15" t="str">
        <x:v>hdlBits</x:v>
      </x:c>
      <x:c r="B363" s="15" t="str">
        <x:v>HDLBits Attempt 1/study/solutions/Day 03/067-exams__m2014_q4j.sv</x:v>
      </x:c>
      <x:c r="C363" s="15" t="str">
        <x:v>RTL</x:v>
      </x:c>
      <x:c r="D363" s="15" t="str">
        <x:v>top_module, fa</x:v>
      </x:c>
      <x:c r="E363" s="15" t="str">
        <x:v>x, y, a, b, cin</x:v>
      </x:c>
      <x:c r="F363" s="15" t="str">
        <x:v>sum, cout</x:v>
      </x:c>
      <x:c r="G363" s="15" t="str">
        <x:v>HDL-067</x:v>
      </x:c>
      <x:c r="H363" s="26" t="str">
        <x:v>https://github.com/kapiltrip/hdlBits/blob/fc3f2b993a1e202ef42a8e831c29f8f287f85e7a/HDLBits%20Attempt%201/study/solutions/Day%2003/067-exams__m2014_q4j.sv</x:v>
      </x:c>
      <x:c r="I363" s="15" t="str">
        <x:v>fc3f2b993a1e202ef42a8e831c29f8f287f85e7a</x:v>
      </x:c>
    </x:row>
    <x:row r="364" ht="54" customHeight="1">
      <x:c r="A364" s="4" t="str">
        <x:v>hdlBits</x:v>
      </x:c>
      <x:c r="B364" s="4" t="str">
        <x:v>HDLBits Attempt 1/study/solutions/Day 03/068-exams__ece241_2014_q1c.sv</x:v>
      </x:c>
      <x:c r="C364" s="4" t="str">
        <x:v>RTL</x:v>
      </x:c>
      <x:c r="D364" s="4" t="str">
        <x:v>top_module</x:v>
      </x:c>
      <x:c r="E364" s="4" t="str">
        <x:v>a, b</x:v>
      </x:c>
      <x:c r="F364" s="4" t="str">
        <x:v>s, overflow</x:v>
      </x:c>
      <x:c r="G364" s="4" t="str">
        <x:v>HDL-068</x:v>
      </x:c>
      <x:c r="H364" s="25" t="str">
        <x:v>https://github.com/kapiltrip/hdlBits/blob/fc3f2b993a1e202ef42a8e831c29f8f287f85e7a/HDLBits%20Attempt%201/study/solutions/Day%2003/068-exams__ece241_2014_q1c.sv</x:v>
      </x:c>
      <x:c r="I364" s="4" t="str">
        <x:v>fc3f2b993a1e202ef42a8e831c29f8f287f85e7a</x:v>
      </x:c>
    </x:row>
    <x:row r="365" ht="54" customHeight="1">
      <x:c r="A365" s="15" t="str">
        <x:v>hdlBits</x:v>
      </x:c>
      <x:c r="B365" s="15" t="str">
        <x:v>HDLBits Attempt 1/study/solutions/Day 03/069-adder100.sv</x:v>
      </x:c>
      <x:c r="C365" s="15" t="str">
        <x:v>RTL</x:v>
      </x:c>
      <x:c r="D365" s="15" t="str">
        <x:v>top_module, fa</x:v>
      </x:c>
      <x:c r="E365" s="15" t="str">
        <x:v>a, b, cin</x:v>
      </x:c>
      <x:c r="F365" s="15" t="str">
        <x:v>cout, sum</x:v>
      </x:c>
      <x:c r="G365" s="15" t="str">
        <x:v>HDL-069</x:v>
      </x:c>
      <x:c r="H365" s="26" t="str">
        <x:v>https://github.com/kapiltrip/hdlBits/blob/fc3f2b993a1e202ef42a8e831c29f8f287f85e7a/HDLBits%20Attempt%201/study/solutions/Day%2003/069-adder100.sv</x:v>
      </x:c>
      <x:c r="I365" s="15" t="str">
        <x:v>fc3f2b993a1e202ef42a8e831c29f8f287f85e7a</x:v>
      </x:c>
    </x:row>
    <x:row r="366" ht="54" customHeight="1">
      <x:c r="A366" s="4" t="str">
        <x:v>hdlBits</x:v>
      </x:c>
      <x:c r="B366" s="4" t="str">
        <x:v>HDLBits Attempt 1/study/solutions/Day 03/070-bcdadd4.sv</x:v>
      </x:c>
      <x:c r="C366" s="4" t="str">
        <x:v>RTL</x:v>
      </x:c>
      <x:c r="D366" s="4" t="str">
        <x:v>top_module</x:v>
      </x:c>
      <x:c r="E366" s="4" t="str">
        <x:v>a, b, cin</x:v>
      </x:c>
      <x:c r="F366" s="4" t="str">
        <x:v>cout, sum</x:v>
      </x:c>
      <x:c r="G366" s="4" t="str">
        <x:v>HDL-070</x:v>
      </x:c>
      <x:c r="H366" s="25" t="str">
        <x:v>https://github.com/kapiltrip/hdlBits/blob/fc3f2b993a1e202ef42a8e831c29f8f287f85e7a/HDLBits%20Attempt%201/study/solutions/Day%2003/070-bcdadd4.sv</x:v>
      </x:c>
      <x:c r="I366" s="4" t="str">
        <x:v>fc3f2b993a1e202ef42a8e831c29f8f287f85e7a</x:v>
      </x:c>
    </x:row>
    <x:row r="367" ht="54" customHeight="1">
      <x:c r="A367" s="15" t="str">
        <x:v>hdlBits</x:v>
      </x:c>
      <x:c r="B367" s="15" t="str">
        <x:v>HDLBits Attempt 1/study/solutions/Day 03/071-kmap1.sv</x:v>
      </x:c>
      <x:c r="C367" s="15" t="str">
        <x:v>RTL</x:v>
      </x:c>
      <x:c r="D367" s="15" t="str">
        <x:v>top_module</x:v>
      </x:c>
      <x:c r="E367" s="15" t="str">
        <x:v>a, b, c</x:v>
      </x:c>
      <x:c r="F367" s="15" t="str">
        <x:v>out</x:v>
      </x:c>
      <x:c r="G367" s="15" t="str">
        <x:v>HDL-071</x:v>
      </x:c>
      <x:c r="H367" s="26" t="str">
        <x:v>https://github.com/kapiltrip/hdlBits/blob/fc3f2b993a1e202ef42a8e831c29f8f287f85e7a/HDLBits%20Attempt%201/study/solutions/Day%2003/071-kmap1.sv</x:v>
      </x:c>
      <x:c r="I367" s="15" t="str">
        <x:v>fc3f2b993a1e202ef42a8e831c29f8f287f85e7a</x:v>
      </x:c>
    </x:row>
    <x:row r="368" ht="54" customHeight="1">
      <x:c r="A368" s="4" t="str">
        <x:v>hdlBits</x:v>
      </x:c>
      <x:c r="B368" s="4" t="str">
        <x:v>HDLBits Attempt 1/study/solutions/Day 03/072-kmap2.sv</x:v>
      </x:c>
      <x:c r="C368" s="4" t="str">
        <x:v>RTL</x:v>
      </x:c>
      <x:c r="D368" s="4" t="str">
        <x:v>top_module</x:v>
      </x:c>
      <x:c r="E368" s="4" t="str">
        <x:v>a, b, c, d</x:v>
      </x:c>
      <x:c r="F368" s="4" t="str">
        <x:v>out</x:v>
      </x:c>
      <x:c r="G368" s="4" t="str">
        <x:v>HDL-072</x:v>
      </x:c>
      <x:c r="H368" s="25" t="str">
        <x:v>https://github.com/kapiltrip/hdlBits/blob/fc3f2b993a1e202ef42a8e831c29f8f287f85e7a/HDLBits%20Attempt%201/study/solutions/Day%2003/072-kmap2.sv</x:v>
      </x:c>
      <x:c r="I368" s="4" t="str">
        <x:v>fc3f2b993a1e202ef42a8e831c29f8f287f85e7a</x:v>
      </x:c>
    </x:row>
    <x:row r="369" ht="54" customHeight="1">
      <x:c r="A369" s="15" t="str">
        <x:v>hdlBits</x:v>
      </x:c>
      <x:c r="B369" s="15" t="str">
        <x:v>HDLBits Attempt 1/study/solutions/Day 03/073-kmap3.sv</x:v>
      </x:c>
      <x:c r="C369" s="15" t="str">
        <x:v>Empty RTL stub</x:v>
      </x:c>
      <x:c r="D369" s="15" t="str">
        <x:v>top_module</x:v>
      </x:c>
      <x:c r="E369" s="15" t="str">
        <x:v>a, b, c, d</x:v>
      </x:c>
      <x:c r="F369" s="15" t="str">
        <x:v>out</x:v>
      </x:c>
      <x:c r="G369" s="15" t="str">
        <x:v>HDL-073</x:v>
      </x:c>
      <x:c r="H369" s="26" t="str">
        <x:v>https://github.com/kapiltrip/hdlBits/blob/fc3f2b993a1e202ef42a8e831c29f8f287f85e7a/HDLBits%20Attempt%201/study/solutions/Day%2003/073-kmap3.sv</x:v>
      </x:c>
      <x:c r="I369" s="15" t="str">
        <x:v>fc3f2b993a1e202ef42a8e831c29f8f287f85e7a</x:v>
      </x:c>
    </x:row>
    <x:row r="370" ht="54" customHeight="1">
      <x:c r="A370" s="4" t="str">
        <x:v>hdlBits</x:v>
      </x:c>
      <x:c r="B370" s="4" t="str">
        <x:v>HDLBits Attempt 1/study/solutions/Day 03/074-kmap4.sv</x:v>
      </x:c>
      <x:c r="C370" s="4" t="str">
        <x:v>RTL</x:v>
      </x:c>
      <x:c r="D370" s="4" t="str">
        <x:v>top_module</x:v>
      </x:c>
      <x:c r="E370" s="4" t="str">
        <x:v>a, b, c, d</x:v>
      </x:c>
      <x:c r="F370" s="4" t="str">
        <x:v>out</x:v>
      </x:c>
      <x:c r="G370" s="4" t="str">
        <x:v>HDL-074</x:v>
      </x:c>
      <x:c r="H370" s="25" t="str">
        <x:v>https://github.com/kapiltrip/hdlBits/blob/fc3f2b993a1e202ef42a8e831c29f8f287f85e7a/HDLBits%20Attempt%201/study/solutions/Day%2003/074-kmap4.sv</x:v>
      </x:c>
      <x:c r="I370" s="4" t="str">
        <x:v>fc3f2b993a1e202ef42a8e831c29f8f287f85e7a</x:v>
      </x:c>
    </x:row>
    <x:row r="371" ht="54" customHeight="1">
      <x:c r="A371" s="15" t="str">
        <x:v>hdlBits</x:v>
      </x:c>
      <x:c r="B371" s="15" t="str">
        <x:v>HDLBits Attempt 1/study/solutions/Day 03/075-exams__ece241_2013_q2.sv</x:v>
      </x:c>
      <x:c r="C371" s="15" t="str">
        <x:v>RTL</x:v>
      </x:c>
      <x:c r="D371" s="15" t="str">
        <x:v>top_module</x:v>
      </x:c>
      <x:c r="E371" s="15" t="str">
        <x:v>a, b, c, d</x:v>
      </x:c>
      <x:c r="F371" s="15" t="str">
        <x:v>out_sop, out_pos</x:v>
      </x:c>
      <x:c r="G371" s="15" t="str">
        <x:v>HDL-075</x:v>
      </x:c>
      <x:c r="H371" s="26" t="str">
        <x:v>https://github.com/kapiltrip/hdlBits/blob/fc3f2b993a1e202ef42a8e831c29f8f287f85e7a/HDLBits%20Attempt%201/study/solutions/Day%2003/075-exams__ece241_2013_q2.sv</x:v>
      </x:c>
      <x:c r="I371" s="15" t="str">
        <x:v>fc3f2b993a1e202ef42a8e831c29f8f287f85e7a</x:v>
      </x:c>
    </x:row>
    <x:row r="372" ht="54" customHeight="1">
      <x:c r="A372" s="4" t="str">
        <x:v>hdlBits</x:v>
      </x:c>
      <x:c r="B372" s="4" t="str">
        <x:v>HDLBits Attempt 1/study/solutions/Day 03/076-exams__m2014_q3.sv</x:v>
      </x:c>
      <x:c r="C372" s="4" t="str">
        <x:v>RTL</x:v>
      </x:c>
      <x:c r="D372" s="4" t="str">
        <x:v>top_module</x:v>
      </x:c>
      <x:c r="E372" s="4" t="str">
        <x:v>x</x:v>
      </x:c>
      <x:c r="F372" s="4" t="str">
        <x:v>f</x:v>
      </x:c>
      <x:c r="G372" s="4" t="str">
        <x:v>HDL-076</x:v>
      </x:c>
      <x:c r="H372" s="25" t="str">
        <x:v>https://github.com/kapiltrip/hdlBits/blob/fc3f2b993a1e202ef42a8e831c29f8f287f85e7a/HDLBits%20Attempt%201/study/solutions/Day%2003/076-exams__m2014_q3.sv</x:v>
      </x:c>
      <x:c r="I372" s="4" t="str">
        <x:v>fc3f2b993a1e202ef42a8e831c29f8f287f85e7a</x:v>
      </x:c>
    </x:row>
    <x:row r="373" ht="54" customHeight="1">
      <x:c r="A373" s="15" t="str">
        <x:v>hdlBits</x:v>
      </x:c>
      <x:c r="B373" s="15" t="str">
        <x:v>HDLBits Attempt 1/study/solutions/Day 03/077-exams__2012_q1g.sv</x:v>
      </x:c>
      <x:c r="C373" s="15" t="str">
        <x:v>RTL</x:v>
      </x:c>
      <x:c r="D373" s="15" t="str">
        <x:v>top_module</x:v>
      </x:c>
      <x:c r="E373" s="15" t="str">
        <x:v>x</x:v>
      </x:c>
      <x:c r="F373" s="15" t="str">
        <x:v>f</x:v>
      </x:c>
      <x:c r="G373" s="15" t="str">
        <x:v>HDL-077</x:v>
      </x:c>
      <x:c r="H373" s="26" t="str">
        <x:v>https://github.com/kapiltrip/hdlBits/blob/fc3f2b993a1e202ef42a8e831c29f8f287f85e7a/HDLBits%20Attempt%201/study/solutions/Day%2003/077-exams__2012_q1g.sv</x:v>
      </x:c>
      <x:c r="I373" s="15" t="str">
        <x:v>fc3f2b993a1e202ef42a8e831c29f8f287f85e7a</x:v>
      </x:c>
    </x:row>
    <x:row r="374" ht="54" customHeight="1">
      <x:c r="A374" s="4" t="str">
        <x:v>hdlBits</x:v>
      </x:c>
      <x:c r="B374" s="4" t="str">
        <x:v>HDLBits Attempt 1/study/solutions/Day 03/078-exams__ece241_2014_q3.sv</x:v>
      </x:c>
      <x:c r="C374" s="4" t="str">
        <x:v>Empty RTL stub</x:v>
      </x:c>
      <x:c r="D374" s="4" t="str">
        <x:v>top_module</x:v>
      </x:c>
      <x:c r="E374" s="4" t="str">
        <x:v>c, d</x:v>
      </x:c>
      <x:c r="F374" s="4" t="str">
        <x:v>mux_in</x:v>
      </x:c>
      <x:c r="G374" s="4" t="str">
        <x:v>HDL-078</x:v>
      </x:c>
      <x:c r="H374" s="25" t="str">
        <x:v>https://github.com/kapiltrip/hdlBits/blob/fc3f2b993a1e202ef42a8e831c29f8f287f85e7a/HDLBits%20Attempt%201/study/solutions/Day%2003/078-exams__ece241_2014_q3.sv</x:v>
      </x:c>
      <x:c r="I374" s="4" t="str">
        <x:v>fc3f2b993a1e202ef42a8e831c29f8f287f85e7a</x:v>
      </x:c>
    </x:row>
    <x:row r="375" ht="54" customHeight="1">
      <x:c r="A375" s="15" t="str">
        <x:v>hdlBits</x:v>
      </x:c>
      <x:c r="B375" s="15" t="str">
        <x:v>HDLBits Attempt 1/study/solutions/Day 03/079-dff.sv</x:v>
      </x:c>
      <x:c r="C375" s="15" t="str">
        <x:v>RTL</x:v>
      </x:c>
      <x:c r="D375" s="15" t="str">
        <x:v>top_module</x:v>
      </x:c>
      <x:c r="E375" s="15" t="str">
        <x:v>clk, d</x:v>
      </x:c>
      <x:c r="F375" s="15" t="str">
        <x:v>q</x:v>
      </x:c>
      <x:c r="G375" s="15" t="str">
        <x:v>HDL-079</x:v>
      </x:c>
      <x:c r="H375" s="26" t="str">
        <x:v>https://github.com/kapiltrip/hdlBits/blob/fc3f2b993a1e202ef42a8e831c29f8f287f85e7a/HDLBits%20Attempt%201/study/solutions/Day%2003/079-dff.sv</x:v>
      </x:c>
      <x:c r="I375" s="15" t="str">
        <x:v>fc3f2b993a1e202ef42a8e831c29f8f287f85e7a</x:v>
      </x:c>
    </x:row>
    <x:row r="376" ht="54" customHeight="1">
      <x:c r="A376" s="4" t="str">
        <x:v>hdlBits</x:v>
      </x:c>
      <x:c r="B376" s="4" t="str">
        <x:v>HDLBits Attempt 1/study/solutions/Day 03/080-dff8.sv</x:v>
      </x:c>
      <x:c r="C376" s="4" t="str">
        <x:v>RTL</x:v>
      </x:c>
      <x:c r="D376" s="4" t="str">
        <x:v>top_module</x:v>
      </x:c>
      <x:c r="E376" s="4" t="str">
        <x:v>clk, d</x:v>
      </x:c>
      <x:c r="F376" s="4" t="str">
        <x:v>q</x:v>
      </x:c>
      <x:c r="G376" s="4" t="str">
        <x:v>HDL-080</x:v>
      </x:c>
      <x:c r="H376" s="25" t="str">
        <x:v>https://github.com/kapiltrip/hdlBits/blob/fc3f2b993a1e202ef42a8e831c29f8f287f85e7a/HDLBits%20Attempt%201/study/solutions/Day%2003/080-dff8.sv</x:v>
      </x:c>
      <x:c r="I376" s="4" t="str">
        <x:v>fc3f2b993a1e202ef42a8e831c29f8f287f85e7a</x:v>
      </x:c>
    </x:row>
    <x:row r="377" ht="54" customHeight="1">
      <x:c r="A377" s="15" t="str">
        <x:v>hdlBits</x:v>
      </x:c>
      <x:c r="B377" s="15" t="str">
        <x:v>HDLBits Attempt 1/study/solutions/Day 03/081-dff8r.sv</x:v>
      </x:c>
      <x:c r="C377" s="15" t="str">
        <x:v>Empty RTL stub</x:v>
      </x:c>
      <x:c r="D377" s="15" t="str">
        <x:v>top_module</x:v>
      </x:c>
      <x:c r="E377" s="15" t="str">
        <x:v>clk, reset, d</x:v>
      </x:c>
      <x:c r="F377" s="15" t="str">
        <x:v>q</x:v>
      </x:c>
      <x:c r="G377" s="15" t="str">
        <x:v>HDL-081</x:v>
      </x:c>
      <x:c r="H377" s="26" t="str">
        <x:v>https://github.com/kapiltrip/hdlBits/blob/fc3f2b993a1e202ef42a8e831c29f8f287f85e7a/HDLBits%20Attempt%201/study/solutions/Day%2003/081-dff8r.sv</x:v>
      </x:c>
      <x:c r="I377" s="15" t="str">
        <x:v>fc3f2b993a1e202ef42a8e831c29f8f287f85e7a</x:v>
      </x:c>
    </x:row>
    <x:row r="378" ht="54" customHeight="1">
      <x:c r="A378" s="4" t="str">
        <x:v>hdlBits</x:v>
      </x:c>
      <x:c r="B378" s="4" t="str">
        <x:v>HDLBits Attempt 1/study/solutions/Day 03/082-dff8p.sv</x:v>
      </x:c>
      <x:c r="C378" s="4" t="str">
        <x:v>RTL</x:v>
      </x:c>
      <x:c r="D378" s="4" t="str">
        <x:v>top_module</x:v>
      </x:c>
      <x:c r="E378" s="4" t="str">
        <x:v>clk, reset, d</x:v>
      </x:c>
      <x:c r="F378" s="4" t="str">
        <x:v>q</x:v>
      </x:c>
      <x:c r="G378" s="4" t="str">
        <x:v>HDL-082</x:v>
      </x:c>
      <x:c r="H378" s="25" t="str">
        <x:v>https://github.com/kapiltrip/hdlBits/blob/fc3f2b993a1e202ef42a8e831c29f8f287f85e7a/HDLBits%20Attempt%201/study/solutions/Day%2003/082-dff8p.sv</x:v>
      </x:c>
      <x:c r="I378" s="4" t="str">
        <x:v>fc3f2b993a1e202ef42a8e831c29f8f287f85e7a</x:v>
      </x:c>
    </x:row>
    <x:row r="379" ht="54" customHeight="1">
      <x:c r="A379" s="15" t="str">
        <x:v>hdlBits</x:v>
      </x:c>
      <x:c r="B379" s="15" t="str">
        <x:v>HDLBits Attempt 1/study/solutions/Day 03/083-dff8ar.sv</x:v>
      </x:c>
      <x:c r="C379" s="15" t="str">
        <x:v>RTL</x:v>
      </x:c>
      <x:c r="D379" s="15" t="str">
        <x:v>top_module</x:v>
      </x:c>
      <x:c r="E379" s="15" t="str">
        <x:v>clk, areset, d</x:v>
      </x:c>
      <x:c r="F379" s="15" t="str">
        <x:v>q</x:v>
      </x:c>
      <x:c r="G379" s="15" t="str">
        <x:v>HDL-083</x:v>
      </x:c>
      <x:c r="H379" s="26" t="str">
        <x:v>https://github.com/kapiltrip/hdlBits/blob/fc3f2b993a1e202ef42a8e831c29f8f287f85e7a/HDLBits%20Attempt%201/study/solutions/Day%2003/083-dff8ar.sv</x:v>
      </x:c>
      <x:c r="I379" s="15" t="str">
        <x:v>fc3f2b993a1e202ef42a8e831c29f8f287f85e7a</x:v>
      </x:c>
    </x:row>
    <x:row r="380" ht="54" customHeight="1">
      <x:c r="A380" s="4" t="str">
        <x:v>hdlBits</x:v>
      </x:c>
      <x:c r="B380" s="4" t="str">
        <x:v>HDLBits Attempt 1/study/solutions/Day 03/084-dff16e.sv</x:v>
      </x:c>
      <x:c r="C380" s="4" t="str">
        <x:v>RTL</x:v>
      </x:c>
      <x:c r="D380" s="4" t="str">
        <x:v>top_module</x:v>
      </x:c>
      <x:c r="E380" s="4" t="str">
        <x:v>clk, resetn, byteena, d</x:v>
      </x:c>
      <x:c r="F380" s="4" t="str">
        <x:v>q</x:v>
      </x:c>
      <x:c r="G380" s="4" t="str">
        <x:v>HDL-084</x:v>
      </x:c>
      <x:c r="H380" s="25" t="str">
        <x:v>https://github.com/kapiltrip/hdlBits/blob/fc3f2b993a1e202ef42a8e831c29f8f287f85e7a/HDLBits%20Attempt%201/study/solutions/Day%2003/084-dff16e.sv</x:v>
      </x:c>
      <x:c r="I380" s="4" t="str">
        <x:v>fc3f2b993a1e202ef42a8e831c29f8f287f85e7a</x:v>
      </x:c>
    </x:row>
    <x:row r="381" ht="54" customHeight="1">
      <x:c r="A381" s="15" t="str">
        <x:v>hdlBits</x:v>
      </x:c>
      <x:c r="B381" s="15" t="str">
        <x:v>HDLBits Attempt 1/study/solutions/Day 03/085-exams__m2014_q4a.sv</x:v>
      </x:c>
      <x:c r="C381" s="15" t="str">
        <x:v>RTL</x:v>
      </x:c>
      <x:c r="D381" s="15" t="str">
        <x:v>top_module</x:v>
      </x:c>
      <x:c r="E381" s="15" t="str">
        <x:v>d, ena</x:v>
      </x:c>
      <x:c r="F381" s="15" t="str">
        <x:v>q</x:v>
      </x:c>
      <x:c r="G381" s="15" t="str">
        <x:v>HDL-085</x:v>
      </x:c>
      <x:c r="H381" s="26" t="str">
        <x:v>https://github.com/kapiltrip/hdlBits/blob/fc3f2b993a1e202ef42a8e831c29f8f287f85e7a/HDLBits%20Attempt%201/study/solutions/Day%2003/085-exams__m2014_q4a.sv</x:v>
      </x:c>
      <x:c r="I381" s="15" t="str">
        <x:v>fc3f2b993a1e202ef42a8e831c29f8f287f85e7a</x:v>
      </x:c>
    </x:row>
    <x:row r="382" ht="54" customHeight="1">
      <x:c r="A382" s="4" t="str">
        <x:v>hdlBits</x:v>
      </x:c>
      <x:c r="B382" s="4" t="str">
        <x:v>HDLBits Attempt 1/study/solutions/Day 03/086-exams__m2014_q4b.sv</x:v>
      </x:c>
      <x:c r="C382" s="4" t="str">
        <x:v>RTL</x:v>
      </x:c>
      <x:c r="D382" s="4" t="str">
        <x:v>top_module</x:v>
      </x:c>
      <x:c r="E382" s="4" t="str">
        <x:v>clk, d, ar</x:v>
      </x:c>
      <x:c r="F382" s="4" t="str">
        <x:v>q</x:v>
      </x:c>
      <x:c r="G382" s="4" t="str">
        <x:v>HDL-086</x:v>
      </x:c>
      <x:c r="H382" s="25" t="str">
        <x:v>https://github.com/kapiltrip/hdlBits/blob/fc3f2b993a1e202ef42a8e831c29f8f287f85e7a/HDLBits%20Attempt%201/study/solutions/Day%2003/086-exams__m2014_q4b.sv</x:v>
      </x:c>
      <x:c r="I382" s="4" t="str">
        <x:v>fc3f2b993a1e202ef42a8e831c29f8f287f85e7a</x:v>
      </x:c>
    </x:row>
    <x:row r="383" ht="54" customHeight="1">
      <x:c r="A383" s="15" t="str">
        <x:v>hdlBits</x:v>
      </x:c>
      <x:c r="B383" s="15" t="str">
        <x:v>HDLBits Attempt 1/study/solutions/Day 03/087-exams__m2014_q4c.sv</x:v>
      </x:c>
      <x:c r="C383" s="15" t="str">
        <x:v>RTL</x:v>
      </x:c>
      <x:c r="D383" s="15" t="str">
        <x:v>top_module</x:v>
      </x:c>
      <x:c r="E383" s="15" t="str">
        <x:v>clk, d, r</x:v>
      </x:c>
      <x:c r="F383" s="15" t="str">
        <x:v>q</x:v>
      </x:c>
      <x:c r="G383" s="15" t="str">
        <x:v>HDL-087</x:v>
      </x:c>
      <x:c r="H383" s="26" t="str">
        <x:v>https://github.com/kapiltrip/hdlBits/blob/fc3f2b993a1e202ef42a8e831c29f8f287f85e7a/HDLBits%20Attempt%201/study/solutions/Day%2003/087-exams__m2014_q4c.sv</x:v>
      </x:c>
      <x:c r="I383" s="15" t="str">
        <x:v>fc3f2b993a1e202ef42a8e831c29f8f287f85e7a</x:v>
      </x:c>
    </x:row>
    <x:row r="384" ht="54" customHeight="1">
      <x:c r="A384" s="4" t="str">
        <x:v>hdlBits</x:v>
      </x:c>
      <x:c r="B384" s="4" t="str">
        <x:v>HDLBits Attempt 1/study/solutions/Day 03/088-exams__m2014_q4d.sv</x:v>
      </x:c>
      <x:c r="C384" s="4" t="str">
        <x:v>RTL</x:v>
      </x:c>
      <x:c r="D384" s="4" t="str">
        <x:v>top_module</x:v>
      </x:c>
      <x:c r="E384" s="4" t="str">
        <x:v>clk, in</x:v>
      </x:c>
      <x:c r="F384" s="4" t="str">
        <x:v>out</x:v>
      </x:c>
      <x:c r="G384" s="4" t="str">
        <x:v>HDL-088</x:v>
      </x:c>
      <x:c r="H384" s="25" t="str">
        <x:v>https://github.com/kapiltrip/hdlBits/blob/fc3f2b993a1e202ef42a8e831c29f8f287f85e7a/HDLBits%20Attempt%201/study/solutions/Day%2003/088-exams__m2014_q4d.sv</x:v>
      </x:c>
      <x:c r="I384" s="4" t="str">
        <x:v>fc3f2b993a1e202ef42a8e831c29f8f287f85e7a</x:v>
      </x:c>
    </x:row>
    <x:row r="385" ht="54" customHeight="1">
      <x:c r="A385" s="15" t="str">
        <x:v>hdlBits</x:v>
      </x:c>
      <x:c r="B385" s="15" t="str">
        <x:v>HDLBits Attempt 1/study/solutions/Day 04/089-mt2015_muxdff.sv</x:v>
      </x:c>
      <x:c r="C385" s="15" t="str">
        <x:v>RTL</x:v>
      </x:c>
      <x:c r="D385" s="15" t="str">
        <x:v>top_module</x:v>
      </x:c>
      <x:c r="E385" s="15" t="str">
        <x:v>clk, L, r_in, q_in</x:v>
      </x:c>
      <x:c r="F385" s="15" t="str">
        <x:v>Q</x:v>
      </x:c>
      <x:c r="G385" s="15" t="str">
        <x:v>HDL-089</x:v>
      </x:c>
      <x:c r="H385" s="26" t="str">
        <x:v>https://github.com/kapiltrip/hdlBits/blob/fc3f2b993a1e202ef42a8e831c29f8f287f85e7a/HDLBits%20Attempt%201/study/solutions/Day%2004/089-mt2015_muxdff.sv</x:v>
      </x:c>
      <x:c r="I385" s="15" t="str">
        <x:v>fc3f2b993a1e202ef42a8e831c29f8f287f85e7a</x:v>
      </x:c>
    </x:row>
    <x:row r="386" ht="54" customHeight="1">
      <x:c r="A386" s="4" t="str">
        <x:v>hdlBits</x:v>
      </x:c>
      <x:c r="B386" s="4" t="str">
        <x:v>HDLBits Attempt 1/study/solutions/Day 04/090-exams__2014_q4a.sv</x:v>
      </x:c>
      <x:c r="C386" s="4" t="str">
        <x:v>RTL</x:v>
      </x:c>
      <x:c r="D386" s="4" t="str">
        <x:v>top_module</x:v>
      </x:c>
      <x:c r="E386" s="4" t="str">
        <x:v>clk, w, R, E, L</x:v>
      </x:c>
      <x:c r="F386" s="4" t="str">
        <x:v>Q</x:v>
      </x:c>
      <x:c r="G386" s="4" t="str">
        <x:v>HDL-090</x:v>
      </x:c>
      <x:c r="H386" s="25" t="str">
        <x:v>https://github.com/kapiltrip/hdlBits/blob/fc3f2b993a1e202ef42a8e831c29f8f287f85e7a/HDLBits%20Attempt%201/study/solutions/Day%2004/090-exams__2014_q4a.sv</x:v>
      </x:c>
      <x:c r="I386" s="4" t="str">
        <x:v>fc3f2b993a1e202ef42a8e831c29f8f287f85e7a</x:v>
      </x:c>
    </x:row>
    <x:row r="387" ht="54" customHeight="1">
      <x:c r="A387" s="15" t="str">
        <x:v>hdlBits</x:v>
      </x:c>
      <x:c r="B387" s="15" t="str">
        <x:v>HDLBits Attempt 1/study/solutions/Day 04/091-exams__ece241_2014_q4.sv</x:v>
      </x:c>
      <x:c r="C387" s="15" t="str">
        <x:v>RTL</x:v>
      </x:c>
      <x:c r="D387" s="15" t="str">
        <x:v>top_module</x:v>
      </x:c>
      <x:c r="E387" s="15" t="str">
        <x:v>clk, x</x:v>
      </x:c>
      <x:c r="F387" s="15" t="str">
        <x:v>z</x:v>
      </x:c>
      <x:c r="G387" s="15" t="str">
        <x:v>HDL-091</x:v>
      </x:c>
      <x:c r="H387" s="26" t="str">
        <x:v>https://github.com/kapiltrip/hdlBits/blob/fc3f2b993a1e202ef42a8e831c29f8f287f85e7a/HDLBits%20Attempt%201/study/solutions/Day%2004/091-exams__ece241_2014_q4.sv</x:v>
      </x:c>
      <x:c r="I387" s="15" t="str">
        <x:v>fc3f2b993a1e202ef42a8e831c29f8f287f85e7a</x:v>
      </x:c>
    </x:row>
    <x:row r="388" ht="54" customHeight="1">
      <x:c r="A388" s="4" t="str">
        <x:v>hdlBits</x:v>
      </x:c>
      <x:c r="B388" s="4" t="str">
        <x:v>HDLBits Attempt 1/study/solutions/Day 04/092-exams__ece241_2013_q7.sv</x:v>
      </x:c>
      <x:c r="C388" s="4" t="str">
        <x:v>Empty RTL stub</x:v>
      </x:c>
      <x:c r="D388" s="4" t="str">
        <x:v>top_module</x:v>
      </x:c>
      <x:c r="E388" s="4" t="str">
        <x:v>clk, j, k</x:v>
      </x:c>
      <x:c r="F388" s="4" t="str">
        <x:v>Q</x:v>
      </x:c>
      <x:c r="G388" s="4" t="str">
        <x:v>HDL-092</x:v>
      </x:c>
      <x:c r="H388" s="25" t="str">
        <x:v>https://github.com/kapiltrip/hdlBits/blob/fc3f2b993a1e202ef42a8e831c29f8f287f85e7a/HDLBits%20Attempt%201/study/solutions/Day%2004/092-exams__ece241_2013_q7.sv</x:v>
      </x:c>
      <x:c r="I388" s="4" t="str">
        <x:v>fc3f2b993a1e202ef42a8e831c29f8f287f85e7a</x:v>
      </x:c>
    </x:row>
    <x:row r="389" ht="54" customHeight="1">
      <x:c r="A389" s="15" t="str">
        <x:v>hdlBits</x:v>
      </x:c>
      <x:c r="B389" s="15" t="str">
        <x:v>HDLBits Attempt 1/study/solutions/Day 04/093-edgedetect.sv</x:v>
      </x:c>
      <x:c r="C389" s="15" t="str">
        <x:v>RTL</x:v>
      </x:c>
      <x:c r="D389" s="15" t="str">
        <x:v>top_module</x:v>
      </x:c>
      <x:c r="E389" s="15" t="str">
        <x:v>clk, in</x:v>
      </x:c>
      <x:c r="F389" s="15" t="str">
        <x:v>pedge</x:v>
      </x:c>
      <x:c r="G389" s="15" t="str">
        <x:v>HDL-093</x:v>
      </x:c>
      <x:c r="H389" s="26" t="str">
        <x:v>https://github.com/kapiltrip/hdlBits/blob/fc3f2b993a1e202ef42a8e831c29f8f287f85e7a/HDLBits%20Attempt%201/study/solutions/Day%2004/093-edgedetect.sv</x:v>
      </x:c>
      <x:c r="I389" s="15" t="str">
        <x:v>fc3f2b993a1e202ef42a8e831c29f8f287f85e7a</x:v>
      </x:c>
    </x:row>
    <x:row r="390" ht="54" customHeight="1">
      <x:c r="A390" s="4" t="str">
        <x:v>hdlBits</x:v>
      </x:c>
      <x:c r="B390" s="4" t="str">
        <x:v>HDLBits Attempt 1/study/solutions/Day 04/094-edgedetect2.sv</x:v>
      </x:c>
      <x:c r="C390" s="4" t="str">
        <x:v>RTL</x:v>
      </x:c>
      <x:c r="D390" s="4" t="str">
        <x:v>top_module</x:v>
      </x:c>
      <x:c r="E390" s="4" t="str">
        <x:v>clk, in</x:v>
      </x:c>
      <x:c r="F390" s="4" t="str">
        <x:v>anyedge</x:v>
      </x:c>
      <x:c r="G390" s="4" t="str">
        <x:v>HDL-094</x:v>
      </x:c>
      <x:c r="H390" s="25" t="str">
        <x:v>https://github.com/kapiltrip/hdlBits/blob/fc3f2b993a1e202ef42a8e831c29f8f287f85e7a/HDLBits%20Attempt%201/study/solutions/Day%2004/094-edgedetect2.sv</x:v>
      </x:c>
      <x:c r="I390" s="4" t="str">
        <x:v>fc3f2b993a1e202ef42a8e831c29f8f287f85e7a</x:v>
      </x:c>
    </x:row>
    <x:row r="391" ht="54" customHeight="1">
      <x:c r="A391" s="15" t="str">
        <x:v>hdlBits</x:v>
      </x:c>
      <x:c r="B391" s="15" t="str">
        <x:v>HDLBits Attempt 1/study/solutions/Day 04/095-edgecapture.sv</x:v>
      </x:c>
      <x:c r="C391" s="15" t="str">
        <x:v>Empty RTL stub</x:v>
      </x:c>
      <x:c r="D391" s="15" t="str">
        <x:v>top_module</x:v>
      </x:c>
      <x:c r="E391" s="15" t="str">
        <x:v>clk, reset, in</x:v>
      </x:c>
      <x:c r="F391" s="15" t="str">
        <x:v>out</x:v>
      </x:c>
      <x:c r="G391" s="15" t="str">
        <x:v>HDL-095</x:v>
      </x:c>
      <x:c r="H391" s="26" t="str">
        <x:v>https://github.com/kapiltrip/hdlBits/blob/fc3f2b993a1e202ef42a8e831c29f8f287f85e7a/HDLBits%20Attempt%201/study/solutions/Day%2004/095-edgecapture.sv</x:v>
      </x:c>
      <x:c r="I391" s="15" t="str">
        <x:v>fc3f2b993a1e202ef42a8e831c29f8f287f85e7a</x:v>
      </x:c>
    </x:row>
    <x:row r="392" ht="54" customHeight="1">
      <x:c r="A392" s="4" t="str">
        <x:v>hdlBits</x:v>
      </x:c>
      <x:c r="B392" s="4" t="str">
        <x:v>HDLBits Attempt 1/study/solutions/Day 04/096-dualedge.sv</x:v>
      </x:c>
      <x:c r="C392" s="4" t="str">
        <x:v>RTL</x:v>
      </x:c>
      <x:c r="D392" s="4" t="str">
        <x:v>top_module</x:v>
      </x:c>
      <x:c r="E392" s="4" t="str">
        <x:v>clk, d</x:v>
      </x:c>
      <x:c r="F392" s="4" t="str">
        <x:v>q</x:v>
      </x:c>
      <x:c r="G392" s="4" t="str">
        <x:v>HDL-096</x:v>
      </x:c>
      <x:c r="H392" s="25" t="str">
        <x:v>https://github.com/kapiltrip/hdlBits/blob/fc3f2b993a1e202ef42a8e831c29f8f287f85e7a/HDLBits%20Attempt%201/study/solutions/Day%2004/096-dualedge.sv</x:v>
      </x:c>
      <x:c r="I392" s="4" t="str">
        <x:v>fc3f2b993a1e202ef42a8e831c29f8f287f85e7a</x:v>
      </x:c>
    </x:row>
    <x:row r="393" ht="54" customHeight="1">
      <x:c r="A393" s="15" t="str">
        <x:v>hdlBits</x:v>
      </x:c>
      <x:c r="B393" s="15" t="str">
        <x:v>HDLBits Attempt 1/study/solutions/Day 04/097-count15.sv</x:v>
      </x:c>
      <x:c r="C393" s="15" t="str">
        <x:v>RTL</x:v>
      </x:c>
      <x:c r="D393" s="15" t="str">
        <x:v>top_module</x:v>
      </x:c>
      <x:c r="E393" s="15" t="str">
        <x:v>clk, reset</x:v>
      </x:c>
      <x:c r="F393" s="15" t="str">
        <x:v>q</x:v>
      </x:c>
      <x:c r="G393" s="15" t="str">
        <x:v>HDL-097</x:v>
      </x:c>
      <x:c r="H393" s="26" t="str">
        <x:v>https://github.com/kapiltrip/hdlBits/blob/fc3f2b993a1e202ef42a8e831c29f8f287f85e7a/HDLBits%20Attempt%201/study/solutions/Day%2004/097-count15.sv</x:v>
      </x:c>
      <x:c r="I393" s="15" t="str">
        <x:v>fc3f2b993a1e202ef42a8e831c29f8f287f85e7a</x:v>
      </x:c>
    </x:row>
    <x:row r="394" ht="54" customHeight="1">
      <x:c r="A394" s="4" t="str">
        <x:v>hdlBits</x:v>
      </x:c>
      <x:c r="B394" s="4" t="str">
        <x:v>HDLBits Attempt 1/study/solutions/Day 04/098-count10.sv</x:v>
      </x:c>
      <x:c r="C394" s="4" t="str">
        <x:v>RTL</x:v>
      </x:c>
      <x:c r="D394" s="4" t="str">
        <x:v>top_module</x:v>
      </x:c>
      <x:c r="E394" s="4" t="str">
        <x:v>clk, reset</x:v>
      </x:c>
      <x:c r="F394" s="4" t="str">
        <x:v>q</x:v>
      </x:c>
      <x:c r="G394" s="4" t="str">
        <x:v>HDL-098</x:v>
      </x:c>
      <x:c r="H394" s="25" t="str">
        <x:v>https://github.com/kapiltrip/hdlBits/blob/fc3f2b993a1e202ef42a8e831c29f8f287f85e7a/HDLBits%20Attempt%201/study/solutions/Day%2004/098-count10.sv</x:v>
      </x:c>
      <x:c r="I394" s="4" t="str">
        <x:v>fc3f2b993a1e202ef42a8e831c29f8f287f85e7a</x:v>
      </x:c>
    </x:row>
    <x:row r="395" ht="54" customHeight="1">
      <x:c r="A395" s="15" t="str">
        <x:v>hdlBits</x:v>
      </x:c>
      <x:c r="B395" s="15" t="str">
        <x:v>HDLBits Attempt 1/study/solutions/Day 04/099-count1to10.sv</x:v>
      </x:c>
      <x:c r="C395" s="15" t="str">
        <x:v>Empty RTL stub</x:v>
      </x:c>
      <x:c r="D395" s="15" t="str">
        <x:v>top_module</x:v>
      </x:c>
      <x:c r="E395" s="15" t="str">
        <x:v>clk, reset</x:v>
      </x:c>
      <x:c r="F395" s="15" t="str">
        <x:v>q</x:v>
      </x:c>
      <x:c r="G395" s="15" t="str">
        <x:v>HDL-099</x:v>
      </x:c>
      <x:c r="H395" s="26" t="str">
        <x:v>https://github.com/kapiltrip/hdlBits/blob/fc3f2b993a1e202ef42a8e831c29f8f287f85e7a/HDLBits%20Attempt%201/study/solutions/Day%2004/099-count1to10.sv</x:v>
      </x:c>
      <x:c r="I395" s="15" t="str">
        <x:v>fc3f2b993a1e202ef42a8e831c29f8f287f85e7a</x:v>
      </x:c>
    </x:row>
    <x:row r="396" ht="54" customHeight="1">
      <x:c r="A396" s="4" t="str">
        <x:v>hdlBits</x:v>
      </x:c>
      <x:c r="B396" s="4" t="str">
        <x:v>HDLBits Attempt 1/study/solutions/Day 04/100-countslow.sv</x:v>
      </x:c>
      <x:c r="C396" s="4" t="str">
        <x:v>RTL</x:v>
      </x:c>
      <x:c r="D396" s="4" t="str">
        <x:v>top_module</x:v>
      </x:c>
      <x:c r="E396" s="4" t="str">
        <x:v>clk, slowena, reset</x:v>
      </x:c>
      <x:c r="F396" s="4" t="str">
        <x:v>q</x:v>
      </x:c>
      <x:c r="G396" s="4" t="str">
        <x:v>HDL-100</x:v>
      </x:c>
      <x:c r="H396" s="25" t="str">
        <x:v>https://github.com/kapiltrip/hdlBits/blob/fc3f2b993a1e202ef42a8e831c29f8f287f85e7a/HDLBits%20Attempt%201/study/solutions/Day%2004/100-countslow.sv</x:v>
      </x:c>
      <x:c r="I396" s="4" t="str">
        <x:v>fc3f2b993a1e202ef42a8e831c29f8f287f85e7a</x:v>
      </x:c>
    </x:row>
    <x:row r="397" ht="54" customHeight="1">
      <x:c r="A397" s="15" t="str">
        <x:v>hdlBits</x:v>
      </x:c>
      <x:c r="B397" s="15" t="str">
        <x:v>HDLBits Attempt 1/study/solutions/Day 04/101-shift4.sv</x:v>
      </x:c>
      <x:c r="C397" s="15" t="str">
        <x:v>Empty RTL stub</x:v>
      </x:c>
      <x:c r="D397" s="15" t="str">
        <x:v>top_module</x:v>
      </x:c>
      <x:c r="E397" s="15" t="str">
        <x:v>clk, areset, load, ena, data</x:v>
      </x:c>
      <x:c r="F397" s="15" t="str">
        <x:v>q</x:v>
      </x:c>
      <x:c r="G397" s="15" t="str">
        <x:v>HDL-101</x:v>
      </x:c>
      <x:c r="H397" s="26" t="str">
        <x:v>https://github.com/kapiltrip/hdlBits/blob/fc3f2b993a1e202ef42a8e831c29f8f287f85e7a/HDLBits%20Attempt%201/study/solutions/Day%2004/101-shift4.sv</x:v>
      </x:c>
      <x:c r="I397" s="15" t="str">
        <x:v>fc3f2b993a1e202ef42a8e831c29f8f287f85e7a</x:v>
      </x:c>
    </x:row>
    <x:row r="398" ht="54" customHeight="1">
      <x:c r="A398" s="4" t="str">
        <x:v>hdlBits</x:v>
      </x:c>
      <x:c r="B398" s="4" t="str">
        <x:v>HDLBits Attempt 1/study/solutions/Day 04/102-rotate100.sv</x:v>
      </x:c>
      <x:c r="C398" s="4" t="str">
        <x:v>Empty RTL stub</x:v>
      </x:c>
      <x:c r="D398" s="4" t="str">
        <x:v>top_module</x:v>
      </x:c>
      <x:c r="E398" s="4" t="str">
        <x:v>clk, load, ena, data</x:v>
      </x:c>
      <x:c r="F398" s="4" t="str">
        <x:v>q</x:v>
      </x:c>
      <x:c r="G398" s="4" t="str">
        <x:v>HDL-102</x:v>
      </x:c>
      <x:c r="H398" s="25" t="str">
        <x:v>https://github.com/kapiltrip/hdlBits/blob/fc3f2b993a1e202ef42a8e831c29f8f287f85e7a/HDLBits%20Attempt%201/study/solutions/Day%2004/102-rotate100.sv</x:v>
      </x:c>
      <x:c r="I398" s="4" t="str">
        <x:v>fc3f2b993a1e202ef42a8e831c29f8f287f85e7a</x:v>
      </x:c>
    </x:row>
    <x:row r="399" ht="54" customHeight="1">
      <x:c r="A399" s="15" t="str">
        <x:v>hdlBits</x:v>
      </x:c>
      <x:c r="B399" s="15" t="str">
        <x:v>HDLBits Attempt 1/study/solutions/Day 04/103-shift18.sv</x:v>
      </x:c>
      <x:c r="C399" s="15" t="str">
        <x:v>RTL</x:v>
      </x:c>
      <x:c r="D399" s="15" t="str">
        <x:v>top_module</x:v>
      </x:c>
      <x:c r="E399" s="15" t="str">
        <x:v>clk, load, ena, amount, data</x:v>
      </x:c>
      <x:c r="F399" s="15" t="str">
        <x:v>q</x:v>
      </x:c>
      <x:c r="G399" s="15" t="str">
        <x:v>HDL-103</x:v>
      </x:c>
      <x:c r="H399" s="26" t="str">
        <x:v>https://github.com/kapiltrip/hdlBits/blob/fc3f2b993a1e202ef42a8e831c29f8f287f85e7a/HDLBits%20Attempt%201/study/solutions/Day%2004/103-shift18.sv</x:v>
      </x:c>
      <x:c r="I399" s="15" t="str">
        <x:v>fc3f2b993a1e202ef42a8e831c29f8f287f85e7a</x:v>
      </x:c>
    </x:row>
    <x:row r="400" ht="54" customHeight="1">
      <x:c r="A400" s="4" t="str">
        <x:v>hdlBits</x:v>
      </x:c>
      <x:c r="B400" s="4" t="str">
        <x:v>HDLBits Attempt 1/study/solutions/Day 04/104-lfsr5.sv</x:v>
      </x:c>
      <x:c r="C400" s="4" t="str">
        <x:v>RTL</x:v>
      </x:c>
      <x:c r="D400" s="4" t="str">
        <x:v>top_module</x:v>
      </x:c>
      <x:c r="E400" s="4" t="str">
        <x:v>clk, reset</x:v>
      </x:c>
      <x:c r="F400" s="4" t="str">
        <x:v>q</x:v>
      </x:c>
      <x:c r="G400" s="4" t="str">
        <x:v>HDL-104</x:v>
      </x:c>
      <x:c r="H400" s="25" t="str">
        <x:v>https://github.com/kapiltrip/hdlBits/blob/fc3f2b993a1e202ef42a8e831c29f8f287f85e7a/HDLBits%20Attempt%201/study/solutions/Day%2004/104-lfsr5.sv</x:v>
      </x:c>
      <x:c r="I400" s="4" t="str">
        <x:v>fc3f2b993a1e202ef42a8e831c29f8f287f85e7a</x:v>
      </x:c>
    </x:row>
    <x:row r="401" ht="54" customHeight="1">
      <x:c r="A401" s="15" t="str">
        <x:v>hdlBits</x:v>
      </x:c>
      <x:c r="B401" s="15" t="str">
        <x:v>HDLBits Attempt 1/study/solutions/Day 04/105-mt2015_lfsr.sv</x:v>
      </x:c>
      <x:c r="C401" s="15" t="str">
        <x:v>RTL</x:v>
      </x:c>
      <x:c r="D401" s="15" t="str">
        <x:v>top_module</x:v>
      </x:c>
      <x:c r="E401" s="15" t="str">
        <x:v>SW, KEY</x:v>
      </x:c>
      <x:c r="F401" s="15" t="str">
        <x:v>LEDR</x:v>
      </x:c>
      <x:c r="G401" s="15" t="str">
        <x:v>HDL-105</x:v>
      </x:c>
      <x:c r="H401" s="26" t="str">
        <x:v>https://github.com/kapiltrip/hdlBits/blob/fc3f2b993a1e202ef42a8e831c29f8f287f85e7a/HDLBits%20Attempt%201/study/solutions/Day%2004/105-mt2015_lfsr.sv</x:v>
      </x:c>
      <x:c r="I401" s="15" t="str">
        <x:v>fc3f2b993a1e202ef42a8e831c29f8f287f85e7a</x:v>
      </x:c>
    </x:row>
    <x:row r="402" ht="54" customHeight="1">
      <x:c r="A402" s="4" t="str">
        <x:v>hdlBits</x:v>
      </x:c>
      <x:c r="B402" s="4" t="str">
        <x:v>HDLBits Attempt 1/study/solutions/Day 04/106-lfsr32.sv</x:v>
      </x:c>
      <x:c r="C402" s="4" t="str">
        <x:v>Empty RTL stub</x:v>
      </x:c>
      <x:c r="D402" s="4" t="str">
        <x:v>top_module</x:v>
      </x:c>
      <x:c r="E402" s="4" t="str">
        <x:v>clk, reset</x:v>
      </x:c>
      <x:c r="F402" s="4" t="str">
        <x:v>q</x:v>
      </x:c>
      <x:c r="G402" s="4" t="str">
        <x:v>HDL-106</x:v>
      </x:c>
      <x:c r="H402" s="25" t="str">
        <x:v>https://github.com/kapiltrip/hdlBits/blob/fc3f2b993a1e202ef42a8e831c29f8f287f85e7a/HDLBits%20Attempt%201/study/solutions/Day%2004/106-lfsr32.sv</x:v>
      </x:c>
      <x:c r="I402" s="4" t="str">
        <x:v>fc3f2b993a1e202ef42a8e831c29f8f287f85e7a</x:v>
      </x:c>
    </x:row>
    <x:row r="403" ht="54" customHeight="1">
      <x:c r="A403" s="15" t="str">
        <x:v>hdlBits</x:v>
      </x:c>
      <x:c r="B403" s="15" t="str">
        <x:v>HDLBits Attempt 1/study/solutions/Day 04/107-exams__m2014_q4k.sv</x:v>
      </x:c>
      <x:c r="C403" s="15" t="str">
        <x:v>RTL</x:v>
      </x:c>
      <x:c r="D403" s="15" t="str">
        <x:v>top_module</x:v>
      </x:c>
      <x:c r="E403" s="15" t="str">
        <x:v>clk, resetn, in</x:v>
      </x:c>
      <x:c r="F403" s="15" t="str">
        <x:v>out</x:v>
      </x:c>
      <x:c r="G403" s="15" t="str">
        <x:v>HDL-107</x:v>
      </x:c>
      <x:c r="H403" s="26" t="str">
        <x:v>https://github.com/kapiltrip/hdlBits/blob/fc3f2b993a1e202ef42a8e831c29f8f287f85e7a/HDLBits%20Attempt%201/study/solutions/Day%2004/107-exams__m2014_q4k.sv</x:v>
      </x:c>
      <x:c r="I403" s="15" t="str">
        <x:v>fc3f2b993a1e202ef42a8e831c29f8f287f85e7a</x:v>
      </x:c>
    </x:row>
    <x:row r="404" ht="54" customHeight="1">
      <x:c r="A404" s="4" t="str">
        <x:v>hdlBits</x:v>
      </x:c>
      <x:c r="B404" s="4" t="str">
        <x:v>HDLBits Attempt 1/study/solutions/Day 05/108-exams__2014_q4b.sv</x:v>
      </x:c>
      <x:c r="C404" s="4" t="str">
        <x:v>RTL</x:v>
      </x:c>
      <x:c r="D404" s="4" t="str">
        <x:v>top_module, MUXDFF</x:v>
      </x:c>
      <x:c r="E404" s="4" t="str">
        <x:v>SW, KEY, clk, w, R, E, L</x:v>
      </x:c>
      <x:c r="F404" s="4" t="str">
        <x:v>LEDR, Q</x:v>
      </x:c>
      <x:c r="G404" s="4" t="str">
        <x:v>HDL-108</x:v>
      </x:c>
      <x:c r="H404" s="25" t="str">
        <x:v>https://github.com/kapiltrip/hdlBits/blob/fc3f2b993a1e202ef42a8e831c29f8f287f85e7a/HDLBits%20Attempt%201/study/solutions/Day%2005/108-exams__2014_q4b.sv</x:v>
      </x:c>
      <x:c r="I404" s="4" t="str">
        <x:v>fc3f2b993a1e202ef42a8e831c29f8f287f85e7a</x:v>
      </x:c>
    </x:row>
    <x:row r="405" ht="54" customHeight="1">
      <x:c r="A405" s="15" t="str">
        <x:v>hdlBits</x:v>
      </x:c>
      <x:c r="B405" s="15" t="str">
        <x:v>HDLBits Attempt 1/study/solutions/Day 05/109-exams__ece241_2013_q12.sv</x:v>
      </x:c>
      <x:c r="C405" s="15" t="str">
        <x:v>RTL</x:v>
      </x:c>
      <x:c r="D405" s="15" t="str">
        <x:v>top_module</x:v>
      </x:c>
      <x:c r="E405" s="15" t="str">
        <x:v>clk, enable, S, A, B, C</x:v>
      </x:c>
      <x:c r="F405" s="15" t="str">
        <x:v>Z</x:v>
      </x:c>
      <x:c r="G405" s="15" t="str">
        <x:v>HDL-109</x:v>
      </x:c>
      <x:c r="H405" s="26" t="str">
        <x:v>https://github.com/kapiltrip/hdlBits/blob/fc3f2b993a1e202ef42a8e831c29f8f287f85e7a/HDLBits%20Attempt%201/study/solutions/Day%2005/109-exams__ece241_2013_q12.sv</x:v>
      </x:c>
      <x:c r="I405" s="15" t="str">
        <x:v>fc3f2b993a1e202ef42a8e831c29f8f287f85e7a</x:v>
      </x:c>
    </x:row>
    <x:row r="406" ht="54" customHeight="1">
      <x:c r="A406" s="4" t="str">
        <x:v>hdlBits</x:v>
      </x:c>
      <x:c r="B406" s="4" t="str">
        <x:v>HDLBits Attempt 1/study/solutions/Day 05/110-fsm1.sv</x:v>
      </x:c>
      <x:c r="C406" s="4" t="str">
        <x:v>RTL</x:v>
      </x:c>
      <x:c r="D406" s="4" t="str">
        <x:v>top_module</x:v>
      </x:c>
      <x:c r="E406" s="4" t="str">
        <x:v>clk, areset, in</x:v>
      </x:c>
      <x:c r="F406" s="4" t="str">
        <x:v>out</x:v>
      </x:c>
      <x:c r="G406" s="4" t="str">
        <x:v>HDL-110</x:v>
      </x:c>
      <x:c r="H406" s="25" t="str">
        <x:v>https://github.com/kapiltrip/hdlBits/blob/fc3f2b993a1e202ef42a8e831c29f8f287f85e7a/HDLBits%20Attempt%201/study/solutions/Day%2005/110-fsm1.sv</x:v>
      </x:c>
      <x:c r="I406" s="4" t="str">
        <x:v>fc3f2b993a1e202ef42a8e831c29f8f287f85e7a</x:v>
      </x:c>
    </x:row>
    <x:row r="407" ht="54" customHeight="1">
      <x:c r="A407" s="15" t="str">
        <x:v>hdlBits</x:v>
      </x:c>
      <x:c r="B407" s="15" t="str">
        <x:v>HDLBits Attempt 1/study/solutions/Day 05/111-fsm1s.sv</x:v>
      </x:c>
      <x:c r="C407" s="15" t="str">
        <x:v>RTL</x:v>
      </x:c>
      <x:c r="D407" s="15" t="str">
        <x:v>top_module</x:v>
      </x:c>
      <x:c r="E407" s="15" t="str">
        <x:v>clk, reset, in</x:v>
      </x:c>
      <x:c r="F407" s="15" t="str">
        <x:v>out</x:v>
      </x:c>
      <x:c r="G407" s="15" t="str">
        <x:v>HDL-111</x:v>
      </x:c>
      <x:c r="H407" s="26" t="str">
        <x:v>https://github.com/kapiltrip/hdlBits/blob/fc3f2b993a1e202ef42a8e831c29f8f287f85e7a/HDLBits%20Attempt%201/study/solutions/Day%2005/111-fsm1s.sv</x:v>
      </x:c>
      <x:c r="I407" s="15" t="str">
        <x:v>fc3f2b993a1e202ef42a8e831c29f8f287f85e7a</x:v>
      </x:c>
    </x:row>
    <x:row r="408" ht="54" customHeight="1">
      <x:c r="A408" s="4" t="str">
        <x:v>hdlBits</x:v>
      </x:c>
      <x:c r="B408" s="4" t="str">
        <x:v>HDLBits Attempt 1/study/solutions/Day 05/112-fsm2.sv</x:v>
      </x:c>
      <x:c r="C408" s="4" t="str">
        <x:v>RTL</x:v>
      </x:c>
      <x:c r="D408" s="4" t="str">
        <x:v>top_module</x:v>
      </x:c>
      <x:c r="E408" s="4" t="str">
        <x:v>clk, areset, j, k</x:v>
      </x:c>
      <x:c r="F408" s="4" t="str">
        <x:v>out</x:v>
      </x:c>
      <x:c r="G408" s="4" t="str">
        <x:v>HDL-112</x:v>
      </x:c>
      <x:c r="H408" s="25" t="str">
        <x:v>https://github.com/kapiltrip/hdlBits/blob/fc3f2b993a1e202ef42a8e831c29f8f287f85e7a/HDLBits%20Attempt%201/study/solutions/Day%2005/112-fsm2.sv</x:v>
      </x:c>
      <x:c r="I408" s="4" t="str">
        <x:v>fc3f2b993a1e202ef42a8e831c29f8f287f85e7a</x:v>
      </x:c>
    </x:row>
    <x:row r="409" ht="54" customHeight="1">
      <x:c r="A409" s="15" t="str">
        <x:v>hdlBits</x:v>
      </x:c>
      <x:c r="B409" s="15" t="str">
        <x:v>HDLBits Attempt 1/study/solutions/Day 05/113-fsm2s.sv</x:v>
      </x:c>
      <x:c r="C409" s="15" t="str">
        <x:v>RTL</x:v>
      </x:c>
      <x:c r="D409" s="15" t="str">
        <x:v>top_module</x:v>
      </x:c>
      <x:c r="E409" s="15" t="str">
        <x:v>clk, reset, j, k</x:v>
      </x:c>
      <x:c r="F409" s="15" t="str">
        <x:v>out</x:v>
      </x:c>
      <x:c r="G409" s="15" t="str">
        <x:v>HDL-113</x:v>
      </x:c>
      <x:c r="H409" s="26" t="str">
        <x:v>https://github.com/kapiltrip/hdlBits/blob/fc3f2b993a1e202ef42a8e831c29f8f287f85e7a/HDLBits%20Attempt%201/study/solutions/Day%2005/113-fsm2s.sv</x:v>
      </x:c>
      <x:c r="I409" s="15" t="str">
        <x:v>fc3f2b993a1e202ef42a8e831c29f8f287f85e7a</x:v>
      </x:c>
    </x:row>
    <x:row r="410" ht="54" customHeight="1">
      <x:c r="A410" s="4" t="str">
        <x:v>hdlBits</x:v>
      </x:c>
      <x:c r="B410" s="4" t="str">
        <x:v>HDLBits Attempt 1/study/solutions/Day 05/114-fsm3comb.sv</x:v>
      </x:c>
      <x:c r="C410" s="4" t="str">
        <x:v>RTL</x:v>
      </x:c>
      <x:c r="D410" s="4" t="str">
        <x:v>top_module</x:v>
      </x:c>
      <x:c r="E410" s="4" t="str">
        <x:v>in, state</x:v>
      </x:c>
      <x:c r="F410" s="4" t="str">
        <x:v>next_state, out</x:v>
      </x:c>
      <x:c r="G410" s="4" t="str">
        <x:v>HDL-114</x:v>
      </x:c>
      <x:c r="H410" s="25" t="str">
        <x:v>https://github.com/kapiltrip/hdlBits/blob/fc3f2b993a1e202ef42a8e831c29f8f287f85e7a/HDLBits%20Attempt%201/study/solutions/Day%2005/114-fsm3comb.sv</x:v>
      </x:c>
      <x:c r="I410" s="4" t="str">
        <x:v>fc3f2b993a1e202ef42a8e831c29f8f287f85e7a</x:v>
      </x:c>
    </x:row>
    <x:row r="411" ht="54" customHeight="1">
      <x:c r="A411" s="15" t="str">
        <x:v>hdlBits</x:v>
      </x:c>
      <x:c r="B411" s="15" t="str">
        <x:v>HDLBits Attempt 1/study/solutions/Day 05/115-fsm3onehot.sv</x:v>
      </x:c>
      <x:c r="C411" s="15" t="str">
        <x:v>RTL</x:v>
      </x:c>
      <x:c r="D411" s="15" t="str">
        <x:v>top_module</x:v>
      </x:c>
      <x:c r="E411" s="15" t="str">
        <x:v>in, state</x:v>
      </x:c>
      <x:c r="F411" s="15" t="str">
        <x:v>next_state, out</x:v>
      </x:c>
      <x:c r="G411" s="15" t="str">
        <x:v>HDL-115</x:v>
      </x:c>
      <x:c r="H411" s="26" t="str">
        <x:v>https://github.com/kapiltrip/hdlBits/blob/fc3f2b993a1e202ef42a8e831c29f8f287f85e7a/HDLBits%20Attempt%201/study/solutions/Day%2005/115-fsm3onehot.sv</x:v>
      </x:c>
      <x:c r="I411" s="15" t="str">
        <x:v>fc3f2b993a1e202ef42a8e831c29f8f287f85e7a</x:v>
      </x:c>
    </x:row>
    <x:row r="412" ht="54" customHeight="1">
      <x:c r="A412" s="4" t="str">
        <x:v>hdlBits</x:v>
      </x:c>
      <x:c r="B412" s="4" t="str">
        <x:v>HDLBits Attempt 1/study/solutions/Day 05/116-fsm3.sv</x:v>
      </x:c>
      <x:c r="C412" s="4" t="str">
        <x:v>RTL</x:v>
      </x:c>
      <x:c r="D412" s="4" t="str">
        <x:v>top_module</x:v>
      </x:c>
      <x:c r="E412" s="4" t="str">
        <x:v>clk, in, areset</x:v>
      </x:c>
      <x:c r="F412" s="4" t="str">
        <x:v>out</x:v>
      </x:c>
      <x:c r="G412" s="4" t="str">
        <x:v>HDL-116</x:v>
      </x:c>
      <x:c r="H412" s="25" t="str">
        <x:v>https://github.com/kapiltrip/hdlBits/blob/fc3f2b993a1e202ef42a8e831c29f8f287f85e7a/HDLBits%20Attempt%201/study/solutions/Day%2005/116-fsm3.sv</x:v>
      </x:c>
      <x:c r="I412" s="4" t="str">
        <x:v>fc3f2b993a1e202ef42a8e831c29f8f287f85e7a</x:v>
      </x:c>
    </x:row>
    <x:row r="413" ht="54" customHeight="1">
      <x:c r="A413" s="15" t="str">
        <x:v>hdlBits</x:v>
      </x:c>
      <x:c r="B413" s="15" t="str">
        <x:v>HDLBits Attempt 1/study/solutions/Day 05/117-fsm3s.sv</x:v>
      </x:c>
      <x:c r="C413" s="15" t="str">
        <x:v>RTL</x:v>
      </x:c>
      <x:c r="D413" s="15" t="str">
        <x:v>top_module</x:v>
      </x:c>
      <x:c r="E413" s="15" t="str">
        <x:v>clk, in, reset</x:v>
      </x:c>
      <x:c r="F413" s="15" t="str">
        <x:v>out</x:v>
      </x:c>
      <x:c r="G413" s="15" t="str">
        <x:v>HDL-117</x:v>
      </x:c>
      <x:c r="H413" s="26" t="str">
        <x:v>https://github.com/kapiltrip/hdlBits/blob/fc3f2b993a1e202ef42a8e831c29f8f287f85e7a/HDLBits%20Attempt%201/study/solutions/Day%2005/117-fsm3s.sv</x:v>
      </x:c>
      <x:c r="I413" s="15" t="str">
        <x:v>fc3f2b993a1e202ef42a8e831c29f8f287f85e7a</x:v>
      </x:c>
    </x:row>
    <x:row r="414" ht="54" customHeight="1">
      <x:c r="A414" s="4" t="str">
        <x:v>hdlBits</x:v>
      </x:c>
      <x:c r="B414" s="4" t="str">
        <x:v>HDLBits Attempt 1/study/solutions/Day 05/118-exams__ece241_2013_q4.sv</x:v>
      </x:c>
      <x:c r="C414" s="4" t="str">
        <x:v>RTL</x:v>
      </x:c>
      <x:c r="D414" s="4" t="str">
        <x:v>top_module</x:v>
      </x:c>
      <x:c r="E414" s="4" t="str">
        <x:v>clk, reset, s</x:v>
      </x:c>
      <x:c r="F414" s="4" t="str">
        <x:v>fr3, fr2, fr1, dfr</x:v>
      </x:c>
      <x:c r="G414" s="4" t="str">
        <x:v>HDL-118</x:v>
      </x:c>
      <x:c r="H414" s="25" t="str">
        <x:v>https://github.com/kapiltrip/hdlBits/blob/fc3f2b993a1e202ef42a8e831c29f8f287f85e7a/HDLBits%20Attempt%201/study/solutions/Day%2005/118-exams__ece241_2013_q4.sv</x:v>
      </x:c>
      <x:c r="I414" s="4" t="str">
        <x:v>fc3f2b993a1e202ef42a8e831c29f8f287f85e7a</x:v>
      </x:c>
    </x:row>
    <x:row r="415" ht="54" customHeight="1">
      <x:c r="A415" s="15" t="str">
        <x:v>hdlBits</x:v>
      </x:c>
      <x:c r="B415" s="15" t="str">
        <x:v>HDLBits Attempt 1/study/solutions/Day 05/119-lemmings1.sv</x:v>
      </x:c>
      <x:c r="C415" s="15" t="str">
        <x:v>RTL</x:v>
      </x:c>
      <x:c r="D415" s="15" t="str">
        <x:v>top_module</x:v>
      </x:c>
      <x:c r="E415" s="15" t="str">
        <x:v>clk, areset, bump_left, bump_right</x:v>
      </x:c>
      <x:c r="F415" s="15" t="str">
        <x:v>walk_left, walk_right</x:v>
      </x:c>
      <x:c r="G415" s="15" t="str">
        <x:v>HDL-119</x:v>
      </x:c>
      <x:c r="H415" s="26" t="str">
        <x:v>https://github.com/kapiltrip/hdlBits/blob/fc3f2b993a1e202ef42a8e831c29f8f287f85e7a/HDLBits%20Attempt%201/study/solutions/Day%2005/119-lemmings1.sv</x:v>
      </x:c>
      <x:c r="I415" s="15" t="str">
        <x:v>fc3f2b993a1e202ef42a8e831c29f8f287f85e7a</x:v>
      </x:c>
    </x:row>
    <x:row r="416" ht="54" customHeight="1">
      <x:c r="A416" s="4" t="str">
        <x:v>hdlBits</x:v>
      </x:c>
      <x:c r="B416" s="4" t="str">
        <x:v>HDLBits Attempt 1/study/solutions/Day 06/121-exams__2013_q2bfsm.sv</x:v>
      </x:c>
      <x:c r="C416" s="4" t="str">
        <x:v>RTL</x:v>
      </x:c>
      <x:c r="D416" s="4" t="str">
        <x:v>top_module</x:v>
      </x:c>
      <x:c r="E416" s="4" t="str">
        <x:v>clk, resetn, x, y</x:v>
      </x:c>
      <x:c r="F416" s="4" t="str">
        <x:v>f, g</x:v>
      </x:c>
      <x:c r="G416" s="4" t="str">
        <x:v>HDL-120</x:v>
      </x:c>
      <x:c r="H416" s="25" t="str">
        <x:v>https://github.com/kapiltrip/hdlBits/blob/fc3f2b993a1e202ef42a8e831c29f8f287f85e7a/HDLBits%20Attempt%201/study/solutions/Day%2006/121-exams__2013_q2bfsm.sv</x:v>
      </x:c>
      <x:c r="I416" s="4" t="str">
        <x:v>fc3f2b993a1e202ef42a8e831c29f8f287f85e7a</x:v>
      </x:c>
    </x:row>
    <x:row r="417" ht="54" customHeight="1">
      <x:c r="A417" s="15" t="str">
        <x:v>hdlBits</x:v>
      </x:c>
      <x:c r="B417" s="15" t="str">
        <x:v>HDLBits Attempt 1/study/solutions/Day 06/122-bugs_mux2.sv</x:v>
      </x:c>
      <x:c r="C417" s="15" t="str">
        <x:v>RTL</x:v>
      </x:c>
      <x:c r="D417" s="15" t="str">
        <x:v>top_module</x:v>
      </x:c>
      <x:c r="E417" s="15" t="str">
        <x:v>sel, a, b</x:v>
      </x:c>
      <x:c r="F417" s="15" t="str">
        <x:v>out</x:v>
      </x:c>
      <x:c r="G417" s="15" t="str">
        <x:v>HDL-121</x:v>
      </x:c>
      <x:c r="H417" s="26" t="str">
        <x:v>https://github.com/kapiltrip/hdlBits/blob/fc3f2b993a1e202ef42a8e831c29f8f287f85e7a/HDLBits%20Attempt%201/study/solutions/Day%2006/122-bugs_mux2.sv</x:v>
      </x:c>
      <x:c r="I417" s="15" t="str">
        <x:v>fc3f2b993a1e202ef42a8e831c29f8f287f85e7a</x:v>
      </x:c>
    </x:row>
    <x:row r="418" ht="54" customHeight="1">
      <x:c r="A418" s="4" t="str">
        <x:v>hdlBits</x:v>
      </x:c>
      <x:c r="B418" s="4" t="str">
        <x:v>HDLBits Attempt 1/study/solutions/Day 06/123-bugs_nand3.sv</x:v>
      </x:c>
      <x:c r="C418" s="4" t="str">
        <x:v>RTL</x:v>
      </x:c>
      <x:c r="D418" s="4" t="str">
        <x:v>top_module</x:v>
      </x:c>
      <x:c r="E418" s="4" t="str">
        <x:v>a, b, c</x:v>
      </x:c>
      <x:c r="F418" s="4" t="str">
        <x:v>out</x:v>
      </x:c>
      <x:c r="G418" s="4" t="str">
        <x:v>HDL-122</x:v>
      </x:c>
      <x:c r="H418" s="25" t="str">
        <x:v>https://github.com/kapiltrip/hdlBits/blob/fc3f2b993a1e202ef42a8e831c29f8f287f85e7a/HDLBits%20Attempt%201/study/solutions/Day%2006/123-bugs_nand3.sv</x:v>
      </x:c>
      <x:c r="I418" s="4" t="str">
        <x:v>fc3f2b993a1e202ef42a8e831c29f8f287f85e7a</x:v>
      </x:c>
    </x:row>
    <x:row r="419" ht="54" customHeight="1">
      <x:c r="A419" s="15" t="str">
        <x:v>hdlBits</x:v>
      </x:c>
      <x:c r="B419" s="15" t="str">
        <x:v>HDLBits Attempt 1/study/solutions/Day 06/124-bugs_mux4.sv</x:v>
      </x:c>
      <x:c r="C419" s="15" t="str">
        <x:v>RTL</x:v>
      </x:c>
      <x:c r="D419" s="15" t="str">
        <x:v>top_module</x:v>
      </x:c>
      <x:c r="E419" s="15" t="str">
        <x:v>sel, a, b, c, d</x:v>
      </x:c>
      <x:c r="F419" s="15" t="str">
        <x:v>out</x:v>
      </x:c>
      <x:c r="G419" s="15" t="str">
        <x:v>HDL-123</x:v>
      </x:c>
      <x:c r="H419" s="26" t="str">
        <x:v>https://github.com/kapiltrip/hdlBits/blob/fc3f2b993a1e202ef42a8e831c29f8f287f85e7a/HDLBits%20Attempt%201/study/solutions/Day%2006/124-bugs_mux4.sv</x:v>
      </x:c>
      <x:c r="I419" s="15" t="str">
        <x:v>fc3f2b993a1e202ef42a8e831c29f8f287f85e7a</x:v>
      </x:c>
    </x:row>
    <x:row r="420" ht="54" customHeight="1">
      <x:c r="A420" s="4" t="str">
        <x:v>hdlBits</x:v>
      </x:c>
      <x:c r="B420" s="4" t="str">
        <x:v>HDLBits Attempt 1/study/solutions/Day 06/125-bugs_addsubz.sv</x:v>
      </x:c>
      <x:c r="C420" s="4" t="str">
        <x:v>RTL</x:v>
      </x:c>
      <x:c r="D420" s="4" t="str">
        <x:v>top_module</x:v>
      </x:c>
      <x:c r="E420" s="4" t="str">
        <x:v>do_sub, a, b</x:v>
      </x:c>
      <x:c r="F420" s="4" t="str">
        <x:v>out, result_is_zero</x:v>
      </x:c>
      <x:c r="G420" s="4" t="str">
        <x:v>HDL-124</x:v>
      </x:c>
      <x:c r="H420" s="25" t="str">
        <x:v>https://github.com/kapiltrip/hdlBits/blob/fc3f2b993a1e202ef42a8e831c29f8f287f85e7a/HDLBits%20Attempt%201/study/solutions/Day%2006/125-bugs_addsubz.sv</x:v>
      </x:c>
      <x:c r="I420" s="4" t="str">
        <x:v>fc3f2b993a1e202ef42a8e831c29f8f287f85e7a</x:v>
      </x:c>
    </x:row>
    <x:row r="421" ht="54" customHeight="1">
      <x:c r="A421" s="15" t="str">
        <x:v>hdlBits</x:v>
      </x:c>
      <x:c r="B421" s="15" t="str">
        <x:v>HDLBits Attempt 1/study/solutions/Day 06/126-bugs_case.sv</x:v>
      </x:c>
      <x:c r="C421" s="15" t="str">
        <x:v>RTL</x:v>
      </x:c>
      <x:c r="D421" s="15" t="str">
        <x:v>top_module</x:v>
      </x:c>
      <x:c r="E421" s="15" t="str">
        <x:v>code</x:v>
      </x:c>
      <x:c r="F421" s="15" t="str">
        <x:v>out, valid</x:v>
      </x:c>
      <x:c r="G421" s="15" t="str">
        <x:v>HDL-125</x:v>
      </x:c>
      <x:c r="H421" s="26" t="str">
        <x:v>https://github.com/kapiltrip/hdlBits/blob/fc3f2b993a1e202ef42a8e831c29f8f287f85e7a/HDLBits%20Attempt%201/study/solutions/Day%2006/126-bugs_case.sv</x:v>
      </x:c>
      <x:c r="I421" s="15" t="str">
        <x:v>fc3f2b993a1e202ef42a8e831c29f8f287f85e7a</x:v>
      </x:c>
    </x:row>
    <x:row r="422" ht="54" customHeight="1">
      <x:c r="A422" s="4" t="str">
        <x:v>hdlBits</x:v>
      </x:c>
      <x:c r="B422" s="4" t="str">
        <x:v>HDLBits Attempt 1/study/solutions/Day 06/127-sim__circuit1.sv</x:v>
      </x:c>
      <x:c r="C422" s="4" t="str">
        <x:v>RTL</x:v>
      </x:c>
      <x:c r="D422" s="4" t="str">
        <x:v>top_module</x:v>
      </x:c>
      <x:c r="E422" s="4" t="str">
        <x:v>a, b</x:v>
      </x:c>
      <x:c r="F422" s="4" t="str">
        <x:v>q</x:v>
      </x:c>
      <x:c r="G422" s="4" t="str">
        <x:v>HDL-126</x:v>
      </x:c>
      <x:c r="H422" s="25" t="str">
        <x:v>https://github.com/kapiltrip/hdlBits/blob/fc3f2b993a1e202ef42a8e831c29f8f287f85e7a/HDLBits%20Attempt%201/study/solutions/Day%2006/127-sim__circuit1.sv</x:v>
      </x:c>
      <x:c r="I422" s="4" t="str">
        <x:v>fc3f2b993a1e202ef42a8e831c29f8f287f85e7a</x:v>
      </x:c>
    </x:row>
    <x:row r="423" ht="54" customHeight="1">
      <x:c r="A423" s="15" t="str">
        <x:v>hdlBits</x:v>
      </x:c>
      <x:c r="B423" s="15" t="str">
        <x:v>HDLBits Attempt 1/study/solutions/Day 06/128-sim__circuit2.sv</x:v>
      </x:c>
      <x:c r="C423" s="15" t="str">
        <x:v>RTL</x:v>
      </x:c>
      <x:c r="D423" s="15" t="str">
        <x:v>top_module</x:v>
      </x:c>
      <x:c r="E423" s="15" t="str">
        <x:v>a, b, c, d</x:v>
      </x:c>
      <x:c r="F423" s="15" t="str">
        <x:v>q</x:v>
      </x:c>
      <x:c r="G423" s="15" t="str">
        <x:v>HDL-127</x:v>
      </x:c>
      <x:c r="H423" s="26" t="str">
        <x:v>https://github.com/kapiltrip/hdlBits/blob/fc3f2b993a1e202ef42a8e831c29f8f287f85e7a/HDLBits%20Attempt%201/study/solutions/Day%2006/128-sim__circuit2.sv</x:v>
      </x:c>
      <x:c r="I423" s="15" t="str">
        <x:v>fc3f2b993a1e202ef42a8e831c29f8f287f85e7a</x:v>
      </x:c>
    </x:row>
    <x:row r="424" ht="54" customHeight="1">
      <x:c r="A424" s="4" t="str">
        <x:v>hdlBits</x:v>
      </x:c>
      <x:c r="B424" s="4" t="str">
        <x:v>HDLBits Attempt 1/study/solutions/Day 06/129-sim__circuit3.sv</x:v>
      </x:c>
      <x:c r="C424" s="4" t="str">
        <x:v>RTL</x:v>
      </x:c>
      <x:c r="D424" s="4" t="str">
        <x:v>top_module</x:v>
      </x:c>
      <x:c r="E424" s="4" t="str">
        <x:v>a, b, c, d</x:v>
      </x:c>
      <x:c r="F424" s="4" t="str">
        <x:v>q</x:v>
      </x:c>
      <x:c r="G424" s="4" t="str">
        <x:v>HDL-128</x:v>
      </x:c>
      <x:c r="H424" s="25" t="str">
        <x:v>https://github.com/kapiltrip/hdlBits/blob/fc3f2b993a1e202ef42a8e831c29f8f287f85e7a/HDLBits%20Attempt%201/study/solutions/Day%2006/129-sim__circuit3.sv</x:v>
      </x:c>
      <x:c r="I424" s="4" t="str">
        <x:v>fc3f2b993a1e202ef42a8e831c29f8f287f85e7a</x:v>
      </x:c>
    </x:row>
    <x:row r="425" ht="54" customHeight="1">
      <x:c r="A425" s="15" t="str">
        <x:v>hdlBits</x:v>
      </x:c>
      <x:c r="B425" s="15" t="str">
        <x:v>HDLBits Attempt 1/study/solutions/Day 06/130-sim__circuit4.sv</x:v>
      </x:c>
      <x:c r="C425" s="15" t="str">
        <x:v>RTL</x:v>
      </x:c>
      <x:c r="D425" s="15" t="str">
        <x:v>top_module</x:v>
      </x:c>
      <x:c r="E425" s="15" t="str">
        <x:v>a, b, c, d</x:v>
      </x:c>
      <x:c r="F425" s="15" t="str">
        <x:v>q</x:v>
      </x:c>
      <x:c r="G425" s="15" t="str">
        <x:v>HDL-129</x:v>
      </x:c>
      <x:c r="H425" s="26" t="str">
        <x:v>https://github.com/kapiltrip/hdlBits/blob/fc3f2b993a1e202ef42a8e831c29f8f287f85e7a/HDLBits%20Attempt%201/study/solutions/Day%2006/130-sim__circuit4.sv</x:v>
      </x:c>
      <x:c r="I425" s="15" t="str">
        <x:v>fc3f2b993a1e202ef42a8e831c29f8f287f85e7a</x:v>
      </x:c>
    </x:row>
    <x:row r="426" ht="54" customHeight="1">
      <x:c r="A426" s="4" t="str">
        <x:v>hdlBits</x:v>
      </x:c>
      <x:c r="B426" s="4" t="str">
        <x:v>HDLBits Attempt 1/study/solutions/Day 06/131-sim__circuit5.sv</x:v>
      </x:c>
      <x:c r="C426" s="4" t="str">
        <x:v>RTL</x:v>
      </x:c>
      <x:c r="D426" s="4" t="str">
        <x:v>top_module</x:v>
      </x:c>
      <x:c r="E426" s="4" t="str">
        <x:v>a, b, c, d, e</x:v>
      </x:c>
      <x:c r="F426" s="4" t="str">
        <x:v>q</x:v>
      </x:c>
      <x:c r="G426" s="4" t="str">
        <x:v>HDL-130</x:v>
      </x:c>
      <x:c r="H426" s="25" t="str">
        <x:v>https://github.com/kapiltrip/hdlBits/blob/fc3f2b993a1e202ef42a8e831c29f8f287f85e7a/HDLBits%20Attempt%201/study/solutions/Day%2006/131-sim__circuit5.sv</x:v>
      </x:c>
      <x:c r="I426" s="4" t="str">
        <x:v>fc3f2b993a1e202ef42a8e831c29f8f287f85e7a</x:v>
      </x:c>
    </x:row>
    <x:row r="427" ht="54" customHeight="1">
      <x:c r="A427" s="15" t="str">
        <x:v>hdlBits</x:v>
      </x:c>
      <x:c r="B427" s="15" t="str">
        <x:v>HDLBits Attempt 1/study/solutions/Day 06/132-sim__circuit6.sv</x:v>
      </x:c>
      <x:c r="C427" s="15" t="str">
        <x:v>RTL</x:v>
      </x:c>
      <x:c r="D427" s="15" t="str">
        <x:v>top_module</x:v>
      </x:c>
      <x:c r="E427" s="15" t="str">
        <x:v>a</x:v>
      </x:c>
      <x:c r="F427" s="15" t="str">
        <x:v>q</x:v>
      </x:c>
      <x:c r="G427" s="15" t="str">
        <x:v>HDL-131</x:v>
      </x:c>
      <x:c r="H427" s="26" t="str">
        <x:v>https://github.com/kapiltrip/hdlBits/blob/fc3f2b993a1e202ef42a8e831c29f8f287f85e7a/HDLBits%20Attempt%201/study/solutions/Day%2006/132-sim__circuit6.sv</x:v>
      </x:c>
      <x:c r="I427" s="15" t="str">
        <x:v>fc3f2b993a1e202ef42a8e831c29f8f287f85e7a</x:v>
      </x:c>
    </x:row>
    <x:row r="428" ht="54" customHeight="1">
      <x:c r="A428" s="4" t="str">
        <x:v>hdlBits</x:v>
      </x:c>
      <x:c r="B428" s="4" t="str">
        <x:v>HDLBits Attempt 1/study/solutions/Day 06/133-sim__circuit7.sv</x:v>
      </x:c>
      <x:c r="C428" s="4" t="str">
        <x:v>RTL</x:v>
      </x:c>
      <x:c r="D428" s="4" t="str">
        <x:v>top_module</x:v>
      </x:c>
      <x:c r="E428" s="4" t="str">
        <x:v>clk, a</x:v>
      </x:c>
      <x:c r="F428" s="4" t="str">
        <x:v>q</x:v>
      </x:c>
      <x:c r="G428" s="4" t="str">
        <x:v>HDL-132</x:v>
      </x:c>
      <x:c r="H428" s="25" t="str">
        <x:v>https://github.com/kapiltrip/hdlBits/blob/fc3f2b993a1e202ef42a8e831c29f8f287f85e7a/HDLBits%20Attempt%201/study/solutions/Day%2006/133-sim__circuit7.sv</x:v>
      </x:c>
      <x:c r="I428" s="4" t="str">
        <x:v>fc3f2b993a1e202ef42a8e831c29f8f287f85e7a</x:v>
      </x:c>
    </x:row>
    <x:row r="429" ht="54" customHeight="1">
      <x:c r="A429" s="15" t="str">
        <x:v>hdlBits</x:v>
      </x:c>
      <x:c r="B429" s="15" t="str">
        <x:v>HDLBits Attempt 1/study/solutions/Day 06/134-sim__circuit8.sv</x:v>
      </x:c>
      <x:c r="C429" s="15" t="str">
        <x:v>RTL</x:v>
      </x:c>
      <x:c r="D429" s="15" t="str">
        <x:v>top_module</x:v>
      </x:c>
      <x:c r="E429" s="15" t="str">
        <x:v>clock, a</x:v>
      </x:c>
      <x:c r="F429" s="15" t="str">
        <x:v>p, q</x:v>
      </x:c>
      <x:c r="G429" s="15" t="str">
        <x:v>HDL-133</x:v>
      </x:c>
      <x:c r="H429" s="26" t="str">
        <x:v>https://github.com/kapiltrip/hdlBits/blob/fc3f2b993a1e202ef42a8e831c29f8f287f85e7a/HDLBits%20Attempt%201/study/solutions/Day%2006/134-sim__circuit8.sv</x:v>
      </x:c>
      <x:c r="I429" s="15" t="str">
        <x:v>fc3f2b993a1e202ef42a8e831c29f8f287f85e7a</x:v>
      </x:c>
    </x:row>
    <x:row r="430" ht="54" customHeight="1">
      <x:c r="A430" s="4" t="str">
        <x:v>hdlBits</x:v>
      </x:c>
      <x:c r="B430" s="4" t="str">
        <x:v>HDLBits Attempt 1/study/solutions/Day 06/135-sim__circuit9.sv</x:v>
      </x:c>
      <x:c r="C430" s="4" t="str">
        <x:v>RTL</x:v>
      </x:c>
      <x:c r="D430" s="4" t="str">
        <x:v>top_module</x:v>
      </x:c>
      <x:c r="E430" s="4" t="str">
        <x:v>clk, a</x:v>
      </x:c>
      <x:c r="F430" s="4" t="str">
        <x:v>q</x:v>
      </x:c>
      <x:c r="G430" s="4" t="str">
        <x:v>HDL-134</x:v>
      </x:c>
      <x:c r="H430" s="25" t="str">
        <x:v>https://github.com/kapiltrip/hdlBits/blob/fc3f2b993a1e202ef42a8e831c29f8f287f85e7a/HDLBits%20Attempt%201/study/solutions/Day%2006/135-sim__circuit9.sv</x:v>
      </x:c>
      <x:c r="I430" s="4" t="str">
        <x:v>fc3f2b993a1e202ef42a8e831c29f8f287f85e7a</x:v>
      </x:c>
    </x:row>
    <x:row r="431" ht="54" customHeight="1">
      <x:c r="A431" s="15" t="str">
        <x:v>hdlBits</x:v>
      </x:c>
      <x:c r="B431" s="15" t="str">
        <x:v>HDLBits Attempt 1/study/solutions/Day 06/136-sim__circuit10.sv</x:v>
      </x:c>
      <x:c r="C431" s="15" t="str">
        <x:v>RTL</x:v>
      </x:c>
      <x:c r="D431" s="15" t="str">
        <x:v>top_module</x:v>
      </x:c>
      <x:c r="E431" s="15" t="str">
        <x:v>clk, a, b</x:v>
      </x:c>
      <x:c r="F431" s="15" t="str">
        <x:v>q, state</x:v>
      </x:c>
      <x:c r="G431" s="15" t="str">
        <x:v>HDL-135</x:v>
      </x:c>
      <x:c r="H431" s="26" t="str">
        <x:v>https://github.com/kapiltrip/hdlBits/blob/fc3f2b993a1e202ef42a8e831c29f8f287f85e7a/HDLBits%20Attempt%201/study/solutions/Day%2006/136-sim__circuit10.sv</x:v>
      </x:c>
      <x:c r="I431" s="15" t="str">
        <x:v>fc3f2b993a1e202ef42a8e831c29f8f287f85e7a</x:v>
      </x:c>
    </x:row>
    <x:row r="432" ht="54" customHeight="1">
      <x:c r="A432" s="4" t="str">
        <x:v>hdlBits</x:v>
      </x:c>
      <x:c r="B432" s="4" t="str">
        <x:v>HDLBits Attempt 1/study/solutions/Day 06/137-tb__clock.sv</x:v>
      </x:c>
      <x:c r="C432" s="4" t="str">
        <x:v>Verification example</x:v>
      </x:c>
      <x:c r="D432" s="4" t="str">
        <x:v>top_module</x:v>
      </x:c>
      <x:c r="E432" s="4" t="str"/>
      <x:c r="F432" s="4" t="str"/>
      <x:c r="G432" s="4" t="str">
        <x:v>Supporting evidence only; map assertions to case IDs before claiming coverage.</x:v>
      </x:c>
      <x:c r="H432" s="25" t="str">
        <x:v>https://github.com/kapiltrip/hdlBits/blob/fc3f2b993a1e202ef42a8e831c29f8f287f85e7a/HDLBits%20Attempt%201/study/solutions/Day%2006/137-tb__clock.sv</x:v>
      </x:c>
      <x:c r="I432" s="4" t="str">
        <x:v>fc3f2b993a1e202ef42a8e831c29f8f287f85e7a</x:v>
      </x:c>
    </x:row>
    <x:row r="433" ht="54" customHeight="1">
      <x:c r="A433" s="15" t="str">
        <x:v>hdlBits</x:v>
      </x:c>
      <x:c r="B433" s="15" t="str">
        <x:v>HDLBits Attempt 1/study/solutions/Day 06/138-tb__tb1.sv</x:v>
      </x:c>
      <x:c r="C433" s="15" t="str">
        <x:v>RTL</x:v>
      </x:c>
      <x:c r="D433" s="15" t="str">
        <x:v>top_module</x:v>
      </x:c>
      <x:c r="E433" s="15" t="str"/>
      <x:c r="F433" s="15" t="str">
        <x:v>A, B</x:v>
      </x:c>
      <x:c r="G433" s="15" t="str">
        <x:v>HDL-136</x:v>
      </x:c>
      <x:c r="H433" s="26" t="str">
        <x:v>https://github.com/kapiltrip/hdlBits/blob/fc3f2b993a1e202ef42a8e831c29f8f287f85e7a/HDLBits%20Attempt%201/study/solutions/Day%2006/138-tb__tb1.sv</x:v>
      </x:c>
      <x:c r="I433" s="15" t="str">
        <x:v>fc3f2b993a1e202ef42a8e831c29f8f287f85e7a</x:v>
      </x:c>
    </x:row>
    <x:row r="434" ht="54" customHeight="1">
      <x:c r="A434" s="4" t="str">
        <x:v>hdlBits</x:v>
      </x:c>
      <x:c r="B434" s="4" t="str">
        <x:v>HDLBits Attempt 1/study/solutions/Day 06/139-tb__and.sv</x:v>
      </x:c>
      <x:c r="C434" s="4" t="str">
        <x:v>Verification example</x:v>
      </x:c>
      <x:c r="D434" s="4" t="str">
        <x:v>top_module</x:v>
      </x:c>
      <x:c r="E434" s="4" t="str"/>
      <x:c r="F434" s="4" t="str"/>
      <x:c r="G434" s="4" t="str">
        <x:v>Supporting evidence only; map assertions to case IDs before claiming coverage.</x:v>
      </x:c>
      <x:c r="H434" s="25" t="str">
        <x:v>https://github.com/kapiltrip/hdlBits/blob/fc3f2b993a1e202ef42a8e831c29f8f287f85e7a/HDLBits%20Attempt%201/study/solutions/Day%2006/139-tb__and.sv</x:v>
      </x:c>
      <x:c r="I434" s="4" t="str">
        <x:v>fc3f2b993a1e202ef42a8e831c29f8f287f85e7a</x:v>
      </x:c>
    </x:row>
    <x:row r="435" ht="54" customHeight="1">
      <x:c r="A435" s="15" t="str">
        <x:v>hdlBits</x:v>
      </x:c>
      <x:c r="B435" s="15" t="str">
        <x:v>HDLBits Attempt 1/study/solutions/Day 06/140-tb__tb2.sv</x:v>
      </x:c>
      <x:c r="C435" s="15" t="str">
        <x:v>Verification example</x:v>
      </x:c>
      <x:c r="D435" s="15" t="str">
        <x:v>top_module</x:v>
      </x:c>
      <x:c r="E435" s="15" t="str"/>
      <x:c r="F435" s="15" t="str"/>
      <x:c r="G435" s="15" t="str">
        <x:v>Supporting evidence only; map assertions to case IDs before claiming coverage.</x:v>
      </x:c>
      <x:c r="H435" s="26" t="str">
        <x:v>https://github.com/kapiltrip/hdlBits/blob/fc3f2b993a1e202ef42a8e831c29f8f287f85e7a/HDLBits%20Attempt%201/study/solutions/Day%2006/140-tb__tb2.sv</x:v>
      </x:c>
      <x:c r="I435" s="15" t="str">
        <x:v>fc3f2b993a1e202ef42a8e831c29f8f287f85e7a</x:v>
      </x:c>
    </x:row>
    <x:row r="436" ht="54" customHeight="1">
      <x:c r="A436" s="4" t="str">
        <x:v>hdlBits</x:v>
      </x:c>
      <x:c r="B436" s="4" t="str">
        <x:v>HDLBits Attempt 1/study/solutions/Day 06/141-tb__tff.sv</x:v>
      </x:c>
      <x:c r="C436" s="4" t="str">
        <x:v>Verification example</x:v>
      </x:c>
      <x:c r="D436" s="4" t="str">
        <x:v>top_module</x:v>
      </x:c>
      <x:c r="E436" s="4" t="str"/>
      <x:c r="F436" s="4" t="str"/>
      <x:c r="G436" s="4" t="str">
        <x:v>Supporting evidence only; map assertions to case IDs before claiming coverage.</x:v>
      </x:c>
      <x:c r="H436" s="25" t="str">
        <x:v>https://github.com/kapiltrip/hdlBits/blob/fc3f2b993a1e202ef42a8e831c29f8f287f85e7a/HDLBits%20Attempt%201/study/solutions/Day%2006/141-tb__tff.sv</x:v>
      </x:c>
      <x:c r="I436" s="4" t="str">
        <x:v>fc3f2b993a1e202ef42a8e831c29f8f287f85e7a</x:v>
      </x:c>
    </x:row>
    <x:row r="437" ht="54" customHeight="1">
      <x:c r="A437" s="15" t="str">
        <x:v>hdlBits</x:v>
      </x:c>
      <x:c r="B437" s="15" t="str">
        <x:v>HDLBits Attempt 1/study/solutions/Day 07/142-exams__ece241_2013_q8.sv</x:v>
      </x:c>
      <x:c r="C437" s="15" t="str">
        <x:v>RTL</x:v>
      </x:c>
      <x:c r="D437" s="15" t="str">
        <x:v>top_module</x:v>
      </x:c>
      <x:c r="E437" s="15" t="str">
        <x:v>clk, aresetn, x</x:v>
      </x:c>
      <x:c r="F437" s="15" t="str">
        <x:v>z</x:v>
      </x:c>
      <x:c r="G437" s="15" t="str">
        <x:v>HDL-137</x:v>
      </x:c>
      <x:c r="H437" s="26" t="str">
        <x:v>https://github.com/kapiltrip/hdlBits/blob/fc3f2b993a1e202ef42a8e831c29f8f287f85e7a/HDLBits%20Attempt%201/study/solutions/Day%2007/142-exams__ece241_2013_q8.sv</x:v>
      </x:c>
      <x:c r="I437" s="15" t="str">
        <x:v>fc3f2b993a1e202ef42a8e831c29f8f287f85e7a</x:v>
      </x:c>
    </x:row>
    <x:row r="438" ht="54" customHeight="1">
      <x:c r="A438" s="4" t="str">
        <x:v>hdlBits</x:v>
      </x:c>
      <x:c r="B438" s="4" t="str">
        <x:v>HDLBits Attempt 1/study/solutions/Day 08/143-exams__ece241_2014_q7a.sv</x:v>
      </x:c>
      <x:c r="C438" s="4" t="str">
        <x:v>RTL</x:v>
      </x:c>
      <x:c r="D438" s="4" t="str">
        <x:v>top_module</x:v>
      </x:c>
      <x:c r="E438" s="4" t="str">
        <x:v>clk, reset, enable</x:v>
      </x:c>
      <x:c r="F438" s="4" t="str">
        <x:v>Q, c_enable, c_load, c_d</x:v>
      </x:c>
      <x:c r="G438" s="4" t="str">
        <x:v>HDL-138</x:v>
      </x:c>
      <x:c r="H438" s="25" t="str">
        <x:v>https://github.com/kapiltrip/hdlBits/blob/fc3f2b993a1e202ef42a8e831c29f8f287f85e7a/HDLBits%20Attempt%201/study/solutions/Day%2008/143-exams__ece241_2014_q7a.sv</x:v>
      </x:c>
      <x:c r="I438" s="4" t="str">
        <x:v>fc3f2b993a1e202ef42a8e831c29f8f287f85e7a</x:v>
      </x:c>
    </x:row>
    <x:row r="439" ht="54" customHeight="1">
      <x:c r="A439" s="15" t="str">
        <x:v>hdlBits</x:v>
      </x:c>
      <x:c r="B439" s="15" t="str">
        <x:v>HDLBits Attempt 1/study/solutions/Day 09/144-exams__ece241_2014_q7b.sv</x:v>
      </x:c>
      <x:c r="C439" s="15" t="str">
        <x:v>RTL</x:v>
      </x:c>
      <x:c r="D439" s="15" t="str">
        <x:v>top_module</x:v>
      </x:c>
      <x:c r="E439" s="15" t="str">
        <x:v>clk, reset</x:v>
      </x:c>
      <x:c r="F439" s="15" t="str">
        <x:v>OneHertz, c_enable</x:v>
      </x:c>
      <x:c r="G439" s="15" t="str">
        <x:v>HDL-139</x:v>
      </x:c>
      <x:c r="H439" s="26" t="str">
        <x:v>https://github.com/kapiltrip/hdlBits/blob/fc3f2b993a1e202ef42a8e831c29f8f287f85e7a/HDLBits%20Attempt%201/study/solutions/Day%2009/144-exams__ece241_2014_q7b.sv</x:v>
      </x:c>
      <x:c r="I439" s="15" t="str">
        <x:v>fc3f2b993a1e202ef42a8e831c29f8f287f85e7a</x:v>
      </x:c>
    </x:row>
    <x:row r="440" ht="54" customHeight="1">
      <x:c r="A440" s="4" t="str">
        <x:v>hdlBits</x:v>
      </x:c>
      <x:c r="B440" s="4" t="str">
        <x:v>HDLBits Attempt 1/study/solutions/Day 09/145-countbcd.sv</x:v>
      </x:c>
      <x:c r="C440" s="4" t="str">
        <x:v>RTL</x:v>
      </x:c>
      <x:c r="D440" s="4" t="str">
        <x:v>top_module</x:v>
      </x:c>
      <x:c r="E440" s="4" t="str">
        <x:v>clk, reset</x:v>
      </x:c>
      <x:c r="F440" s="4" t="str">
        <x:v>ena, q</x:v>
      </x:c>
      <x:c r="G440" s="4" t="str">
        <x:v>HDL-140</x:v>
      </x:c>
      <x:c r="H440" s="25" t="str">
        <x:v>https://github.com/kapiltrip/hdlBits/blob/fc3f2b993a1e202ef42a8e831c29f8f287f85e7a/HDLBits%20Attempt%201/study/solutions/Day%2009/145-countbcd.sv</x:v>
      </x:c>
      <x:c r="I440" s="4" t="str">
        <x:v>fc3f2b993a1e202ef42a8e831c29f8f287f85e7a</x:v>
      </x:c>
    </x:row>
    <x:row r="441" ht="54" customHeight="1">
      <x:c r="A441" s="15" t="str">
        <x:v>hdlBits</x:v>
      </x:c>
      <x:c r="B441" s="15" t="str">
        <x:v>HDLBits Attempt 1/study/solutions/Day 09/146-count_clock.sv</x:v>
      </x:c>
      <x:c r="C441" s="15" t="str">
        <x:v>RTL</x:v>
      </x:c>
      <x:c r="D441" s="15" t="str">
        <x:v>top_module</x:v>
      </x:c>
      <x:c r="E441" s="15" t="str">
        <x:v>clk, reset, ena</x:v>
      </x:c>
      <x:c r="F441" s="15" t="str">
        <x:v>pm, hh, mm, ss</x:v>
      </x:c>
      <x:c r="G441" s="15" t="str">
        <x:v>HDL-141</x:v>
      </x:c>
      <x:c r="H441" s="26" t="str">
        <x:v>https://github.com/kapiltrip/hdlBits/blob/fc3f2b993a1e202ef42a8e831c29f8f287f85e7a/HDLBits%20Attempt%201/study/solutions/Day%2009/146-count_clock.sv</x:v>
      </x:c>
      <x:c r="I441" s="15" t="str">
        <x:v>fc3f2b993a1e202ef42a8e831c29f8f287f85e7a</x:v>
      </x:c>
    </x:row>
    <x:row r="442" ht="54" customHeight="1">
      <x:c r="A442" s="4" t="str">
        <x:v>hdlBits</x:v>
      </x:c>
      <x:c r="B442" s="4" t="str">
        <x:v>HDLBits Attempt 1/study/solutions/Day 09/147-exams__review2015_count1k.sv</x:v>
      </x:c>
      <x:c r="C442" s="4" t="str">
        <x:v>RTL</x:v>
      </x:c>
      <x:c r="D442" s="4" t="str">
        <x:v>top_module</x:v>
      </x:c>
      <x:c r="E442" s="4" t="str">
        <x:v>clk, reset</x:v>
      </x:c>
      <x:c r="F442" s="4" t="str">
        <x:v>q</x:v>
      </x:c>
      <x:c r="G442" s="4" t="str">
        <x:v>HDL-142</x:v>
      </x:c>
      <x:c r="H442" s="25" t="str">
        <x:v>https://github.com/kapiltrip/hdlBits/blob/fc3f2b993a1e202ef42a8e831c29f8f287f85e7a/HDLBits%20Attempt%201/study/solutions/Day%2009/147-exams__review2015_count1k.sv</x:v>
      </x:c>
      <x:c r="I442" s="4" t="str">
        <x:v>fc3f2b993a1e202ef42a8e831c29f8f287f85e7a</x:v>
      </x:c>
    </x:row>
    <x:row r="443" ht="54" customHeight="1">
      <x:c r="A443" s="15" t="str">
        <x:v>hdlBits</x:v>
      </x:c>
      <x:c r="B443" s="15" t="str">
        <x:v>HDLBits Attempt 1/study/solutions/Day 09/148-exams__review2015_shiftcount.sv</x:v>
      </x:c>
      <x:c r="C443" s="15" t="str">
        <x:v>RTL</x:v>
      </x:c>
      <x:c r="D443" s="15" t="str">
        <x:v>top_module</x:v>
      </x:c>
      <x:c r="E443" s="15" t="str">
        <x:v>clk, shift_ena, count_ena, data</x:v>
      </x:c>
      <x:c r="F443" s="15" t="str">
        <x:v>q</x:v>
      </x:c>
      <x:c r="G443" s="15" t="str">
        <x:v>HDL-143</x:v>
      </x:c>
      <x:c r="H443" s="26" t="str">
        <x:v>https://github.com/kapiltrip/hdlBits/blob/fc3f2b993a1e202ef42a8e831c29f8f287f85e7a/HDLBits%20Attempt%201/study/solutions/Day%2009/148-exams__review2015_shiftcount.sv</x:v>
      </x:c>
      <x:c r="I443" s="15" t="str">
        <x:v>fc3f2b993a1e202ef42a8e831c29f8f287f85e7a</x:v>
      </x:c>
    </x:row>
    <x:row r="444" ht="54" customHeight="1">
      <x:c r="A444" s="4" t="str">
        <x:v>hdlBits</x:v>
      </x:c>
      <x:c r="B444" s="4" t="str">
        <x:v>HDLBits Attempt 1/study/solutions/Day 09/149-exams__review2015_fsmseq.sv</x:v>
      </x:c>
      <x:c r="C444" s="4" t="str">
        <x:v>RTL</x:v>
      </x:c>
      <x:c r="D444" s="4" t="str">
        <x:v>top_module</x:v>
      </x:c>
      <x:c r="E444" s="4" t="str">
        <x:v>clk, reset, data</x:v>
      </x:c>
      <x:c r="F444" s="4" t="str">
        <x:v>start_shifting</x:v>
      </x:c>
      <x:c r="G444" s="4" t="str">
        <x:v>HDL-144</x:v>
      </x:c>
      <x:c r="H444" s="25" t="str">
        <x:v>https://github.com/kapiltrip/hdlBits/blob/fc3f2b993a1e202ef42a8e831c29f8f287f85e7a/HDLBits%20Attempt%201/study/solutions/Day%2009/149-exams__review2015_fsmseq.sv</x:v>
      </x:c>
      <x:c r="I444" s="4" t="str">
        <x:v>fc3f2b993a1e202ef42a8e831c29f8f287f85e7a</x:v>
      </x:c>
    </x:row>
    <x:row r="445" ht="54" customHeight="1">
      <x:c r="A445" s="15" t="str">
        <x:v>hdlBits</x:v>
      </x:c>
      <x:c r="B445" s="15" t="str">
        <x:v>HDLBits Attempt 1/study/solutions/Day 09/150-exams__review2015_fsmshift.sv</x:v>
      </x:c>
      <x:c r="C445" s="15" t="str">
        <x:v>RTL</x:v>
      </x:c>
      <x:c r="D445" s="15" t="str">
        <x:v>top_module</x:v>
      </x:c>
      <x:c r="E445" s="15" t="str">
        <x:v>clk, reset</x:v>
      </x:c>
      <x:c r="F445" s="15" t="str">
        <x:v>shift_ena</x:v>
      </x:c>
      <x:c r="G445" s="15" t="str">
        <x:v>HDL-145</x:v>
      </x:c>
      <x:c r="H445" s="26" t="str">
        <x:v>https://github.com/kapiltrip/hdlBits/blob/fc3f2b993a1e202ef42a8e831c29f8f287f85e7a/HDLBits%20Attempt%201/study/solutions/Day%2009/150-exams__review2015_fsmshift.sv</x:v>
      </x:c>
      <x:c r="I445" s="15" t="str">
        <x:v>fc3f2b993a1e202ef42a8e831c29f8f287f85e7a</x:v>
      </x:c>
    </x:row>
    <x:row r="446" ht="54" customHeight="1">
      <x:c r="A446" s="4" t="str">
        <x:v>hdlBits</x:v>
      </x:c>
      <x:c r="B446" s="4" t="str">
        <x:v>HDLBits Attempt 1/study/solutions/Day 09/151-step_one.sv</x:v>
      </x:c>
      <x:c r="C446" s="4" t="str">
        <x:v>RTL</x:v>
      </x:c>
      <x:c r="D446" s="4" t="str">
        <x:v>top_module</x:v>
      </x:c>
      <x:c r="E446" s="4" t="str"/>
      <x:c r="F446" s="4" t="str">
        <x:v>one</x:v>
      </x:c>
      <x:c r="G446" s="4" t="str">
        <x:v>HDL-146</x:v>
      </x:c>
      <x:c r="H446" s="25" t="str">
        <x:v>https://github.com/kapiltrip/hdlBits/blob/fc3f2b993a1e202ef42a8e831c29f8f287f85e7a/HDLBits%20Attempt%201/study/solutions/Day%2009/151-step_one.sv</x:v>
      </x:c>
      <x:c r="I446" s="4" t="str">
        <x:v>fc3f2b993a1e202ef42a8e831c29f8f287f85e7a</x:v>
      </x:c>
    </x:row>
    <x:row r="447" ht="54" customHeight="1">
      <x:c r="A447" s="15" t="str">
        <x:v>hdlBits</x:v>
      </x:c>
      <x:c r="B447" s="15" t="str">
        <x:v>HDLBits Attempt 1/study/solutions/Day 09/152-zero.sv</x:v>
      </x:c>
      <x:c r="C447" s="15" t="str">
        <x:v>RTL</x:v>
      </x:c>
      <x:c r="D447" s="15" t="str">
        <x:v>top_module</x:v>
      </x:c>
      <x:c r="E447" s="15" t="str"/>
      <x:c r="F447" s="15" t="str">
        <x:v>zero</x:v>
      </x:c>
      <x:c r="G447" s="15" t="str">
        <x:v>HDL-147</x:v>
      </x:c>
      <x:c r="H447" s="26" t="str">
        <x:v>https://github.com/kapiltrip/hdlBits/blob/fc3f2b993a1e202ef42a8e831c29f8f287f85e7a/HDLBits%20Attempt%201/study/solutions/Day%2009/152-zero.sv</x:v>
      </x:c>
      <x:c r="I447" s="15" t="str">
        <x:v>fc3f2b993a1e202ef42a8e831c29f8f287f85e7a</x:v>
      </x:c>
    </x:row>
    <x:row r="448" ht="54" customHeight="1">
      <x:c r="A448" s="4" t="str">
        <x:v>hdlBits</x:v>
      </x:c>
      <x:c r="B448" s="4" t="str">
        <x:v>HDLBits Attempt 1/study/solutions/Day 09/153-exams__review2015_fsm.sv</x:v>
      </x:c>
      <x:c r="C448" s="4" t="str">
        <x:v>RTL</x:v>
      </x:c>
      <x:c r="D448" s="4" t="str">
        <x:v>top_module</x:v>
      </x:c>
      <x:c r="E448" s="4" t="str">
        <x:v>clk, reset, data, done_counting, ack</x:v>
      </x:c>
      <x:c r="F448" s="4" t="str">
        <x:v>shift_ena, counting, done</x:v>
      </x:c>
      <x:c r="G448" s="4" t="str">
        <x:v>HDL-148</x:v>
      </x:c>
      <x:c r="H448" s="25" t="str">
        <x:v>https://github.com/kapiltrip/hdlBits/blob/fc3f2b993a1e202ef42a8e831c29f8f287f85e7a/HDLBits%20Attempt%201/study/solutions/Day%2009/153-exams__review2015_fsm.sv</x:v>
      </x:c>
      <x:c r="I448" s="4" t="str">
        <x:v>fc3f2b993a1e202ef42a8e831c29f8f287f85e7a</x:v>
      </x:c>
    </x:row>
    <x:row r="449" ht="54" customHeight="1">
      <x:c r="A449" s="15" t="str">
        <x:v>hdlBits</x:v>
      </x:c>
      <x:c r="B449" s="15" t="str">
        <x:v>HDLBits Attempt 1/study/solutions/Day 09/154-exams__review2015_fancytimer.sv</x:v>
      </x:c>
      <x:c r="C449" s="15" t="str">
        <x:v>RTL</x:v>
      </x:c>
      <x:c r="D449" s="15" t="str">
        <x:v>top_module</x:v>
      </x:c>
      <x:c r="E449" s="15" t="str">
        <x:v>clk, reset, data, ack</x:v>
      </x:c>
      <x:c r="F449" s="15" t="str">
        <x:v>count, counting, done</x:v>
      </x:c>
      <x:c r="G449" s="15" t="str">
        <x:v>HDL-149</x:v>
      </x:c>
      <x:c r="H449" s="26" t="str">
        <x:v>https://github.com/kapiltrip/hdlBits/blob/fc3f2b993a1e202ef42a8e831c29f8f287f85e7a/HDLBits%20Attempt%201/study/solutions/Day%2009/154-exams__review2015_fancytimer.sv</x:v>
      </x:c>
      <x:c r="I449" s="15" t="str">
        <x:v>fc3f2b993a1e202ef42a8e831c29f8f287f85e7a</x:v>
      </x:c>
    </x:row>
    <x:row r="450" ht="54" customHeight="1">
      <x:c r="A450" s="4" t="str">
        <x:v>hdlBits</x:v>
      </x:c>
      <x:c r="B450" s="4" t="str">
        <x:v>HDLBits Attempt 1/study/solutions/Day 10/155-exams__2014_q3fsm.sv</x:v>
      </x:c>
      <x:c r="C450" s="4" t="str">
        <x:v>RTL</x:v>
      </x:c>
      <x:c r="D450" s="4" t="str">
        <x:v>top_module</x:v>
      </x:c>
      <x:c r="E450" s="4" t="str">
        <x:v>clk, reset, s, w</x:v>
      </x:c>
      <x:c r="F450" s="4" t="str">
        <x:v>z</x:v>
      </x:c>
      <x:c r="G450" s="4" t="str">
        <x:v>HDL-150</x:v>
      </x:c>
      <x:c r="H450" s="25" t="str">
        <x:v>https://github.com/kapiltrip/hdlBits/blob/fc3f2b993a1e202ef42a8e831c29f8f287f85e7a/HDLBits%20Attempt%201/study/solutions/Day%2010/155-exams__2014_q3fsm.sv</x:v>
      </x:c>
      <x:c r="I450" s="4" t="str">
        <x:v>fc3f2b993a1e202ef42a8e831c29f8f287f85e7a</x:v>
      </x:c>
    </x:row>
    <x:row r="451" ht="54" customHeight="1">
      <x:c r="A451" s="15" t="str">
        <x:v>hdlBits</x:v>
      </x:c>
      <x:c r="B451" s="15" t="str">
        <x:v>HDLBits Attempt 1/study/solutions/Day 10/156-exams__2014_q3bfsm.sv</x:v>
      </x:c>
      <x:c r="C451" s="15" t="str">
        <x:v>RTL</x:v>
      </x:c>
      <x:c r="D451" s="15" t="str">
        <x:v>top_module</x:v>
      </x:c>
      <x:c r="E451" s="15" t="str">
        <x:v>clk, reset, x</x:v>
      </x:c>
      <x:c r="F451" s="15" t="str">
        <x:v>z</x:v>
      </x:c>
      <x:c r="G451" s="15" t="str">
        <x:v>HDL-151</x:v>
      </x:c>
      <x:c r="H451" s="26" t="str">
        <x:v>https://github.com/kapiltrip/hdlBits/blob/fc3f2b993a1e202ef42a8e831c29f8f287f85e7a/HDLBits%20Attempt%201/study/solutions/Day%2010/156-exams__2014_q3bfsm.sv</x:v>
      </x:c>
      <x:c r="I451" s="15" t="str">
        <x:v>fc3f2b993a1e202ef42a8e831c29f8f287f85e7a</x:v>
      </x:c>
    </x:row>
    <x:row r="452" ht="54" customHeight="1">
      <x:c r="A452" s="4" t="str">
        <x:v>hdlBits</x:v>
      </x:c>
      <x:c r="B452" s="4" t="str">
        <x:v>HDLBits Attempt 1/study/solutions/Day 10/157-exams__2014_q3c.sv</x:v>
      </x:c>
      <x:c r="C452" s="4" t="str">
        <x:v>RTL</x:v>
      </x:c>
      <x:c r="D452" s="4" t="str">
        <x:v>top_module</x:v>
      </x:c>
      <x:c r="E452" s="4" t="str">
        <x:v>clk, y, x</x:v>
      </x:c>
      <x:c r="F452" s="4" t="str">
        <x:v>Y0, z</x:v>
      </x:c>
      <x:c r="G452" s="4" t="str">
        <x:v>HDL-152</x:v>
      </x:c>
      <x:c r="H452" s="25" t="str">
        <x:v>https://github.com/kapiltrip/hdlBits/blob/fc3f2b993a1e202ef42a8e831c29f8f287f85e7a/HDLBits%20Attempt%201/study/solutions/Day%2010/157-exams__2014_q3c.sv</x:v>
      </x:c>
      <x:c r="I452" s="4" t="str">
        <x:v>fc3f2b993a1e202ef42a8e831c29f8f287f85e7a</x:v>
      </x:c>
    </x:row>
    <x:row r="453" ht="54" customHeight="1">
      <x:c r="A453" s="15" t="str">
        <x:v>hdlBits</x:v>
      </x:c>
      <x:c r="B453" s="15" t="str">
        <x:v>HDLBits Attempt 1/study/solutions/Day 10/158-exams__m2014_q6c.sv</x:v>
      </x:c>
      <x:c r="C453" s="15" t="str">
        <x:v>RTL</x:v>
      </x:c>
      <x:c r="D453" s="15" t="str">
        <x:v>top_module</x:v>
      </x:c>
      <x:c r="E453" s="15" t="str">
        <x:v>y, w</x:v>
      </x:c>
      <x:c r="F453" s="15" t="str">
        <x:v>Y2, Y4</x:v>
      </x:c>
      <x:c r="G453" s="15" t="str">
        <x:v>HDL-153</x:v>
      </x:c>
      <x:c r="H453" s="26" t="str">
        <x:v>https://github.com/kapiltrip/hdlBits/blob/fc3f2b993a1e202ef42a8e831c29f8f287f85e7a/HDLBits%20Attempt%201/study/solutions/Day%2010/158-exams__m2014_q6c.sv</x:v>
      </x:c>
      <x:c r="I453" s="15" t="str">
        <x:v>fc3f2b993a1e202ef42a8e831c29f8f287f85e7a</x:v>
      </x:c>
    </x:row>
    <x:row r="454" ht="54" customHeight="1">
      <x:c r="A454" s="4" t="str">
        <x:v>hdlBits</x:v>
      </x:c>
      <x:c r="B454" s="4" t="str">
        <x:v>HDLBits Attempt 1/study/solutions/Day 11/159-lemmings2.sv</x:v>
      </x:c>
      <x:c r="C454" s="4" t="str">
        <x:v>RTL</x:v>
      </x:c>
      <x:c r="D454" s="4" t="str">
        <x:v>top_module</x:v>
      </x:c>
      <x:c r="E454" s="4" t="str">
        <x:v>clk, areset, bump_left, bump_right, ground</x:v>
      </x:c>
      <x:c r="F454" s="4" t="str">
        <x:v>walk_left, walk_right, aaah</x:v>
      </x:c>
      <x:c r="G454" s="4" t="str">
        <x:v>HDL-154</x:v>
      </x:c>
      <x:c r="H454" s="25" t="str">
        <x:v>https://github.com/kapiltrip/hdlBits/blob/fc3f2b993a1e202ef42a8e831c29f8f287f85e7a/HDLBits%20Attempt%201/study/solutions/Day%2011/159-lemmings2.sv</x:v>
      </x:c>
      <x:c r="I454" s="4" t="str">
        <x:v>fc3f2b993a1e202ef42a8e831c29f8f287f85e7a</x:v>
      </x:c>
    </x:row>
    <x:row r="455" ht="54" customHeight="1">
      <x:c r="A455" s="15" t="str">
        <x:v>hdlBits</x:v>
      </x:c>
      <x:c r="B455" s="15" t="str">
        <x:v>HDLBits Attempt 1/study/solutions/Day 11/160-lemmings3.sv</x:v>
      </x:c>
      <x:c r="C455" s="15" t="str">
        <x:v>RTL</x:v>
      </x:c>
      <x:c r="D455" s="15" t="str">
        <x:v>top_module</x:v>
      </x:c>
      <x:c r="E455" s="15" t="str">
        <x:v>clk, areset, bump_left, bump_right, ground, dig</x:v>
      </x:c>
      <x:c r="F455" s="15" t="str">
        <x:v>walk_left, walk_right, aaah, digging</x:v>
      </x:c>
      <x:c r="G455" s="15" t="str">
        <x:v>HDL-155</x:v>
      </x:c>
      <x:c r="H455" s="26" t="str">
        <x:v>https://github.com/kapiltrip/hdlBits/blob/fc3f2b993a1e202ef42a8e831c29f8f287f85e7a/HDLBits%20Attempt%201/study/solutions/Day%2011/160-lemmings3.sv</x:v>
      </x:c>
      <x:c r="I455" s="15" t="str">
        <x:v>fc3f2b993a1e202ef42a8e831c29f8f287f85e7a</x:v>
      </x:c>
    </x:row>
    <x:row r="456" ht="54" customHeight="1">
      <x:c r="A456" s="4" t="str">
        <x:v>hdlBits</x:v>
      </x:c>
      <x:c r="B456" s="4" t="str">
        <x:v>HDLBits Attempt 1/study/solutions/Day 12/161-lemmings4.sv</x:v>
      </x:c>
      <x:c r="C456" s="4" t="str">
        <x:v>RTL</x:v>
      </x:c>
      <x:c r="D456" s="4" t="str">
        <x:v>top_module</x:v>
      </x:c>
      <x:c r="E456" s="4" t="str">
        <x:v>clk, areset, bump_left, bump_right, ground, dig</x:v>
      </x:c>
      <x:c r="F456" s="4" t="str">
        <x:v>walk_left, walk_right, aaah, digging</x:v>
      </x:c>
      <x:c r="G456" s="4" t="str">
        <x:v>HDL-156</x:v>
      </x:c>
      <x:c r="H456" s="25" t="str">
        <x:v>https://github.com/kapiltrip/hdlBits/blob/fc3f2b993a1e202ef42a8e831c29f8f287f85e7a/HDLBits%20Attempt%201/study/solutions/Day%2012/161-lemmings4.sv</x:v>
      </x:c>
      <x:c r="I456" s="4" t="str">
        <x:v>fc3f2b993a1e202ef42a8e831c29f8f287f85e7a</x:v>
      </x:c>
    </x:row>
    <x:row r="457" ht="54" customHeight="1">
      <x:c r="A457" s="15" t="str">
        <x:v>hdlBits</x:v>
      </x:c>
      <x:c r="B457" s="15" t="str">
        <x:v>HDLBits Attempt 1/study/solutions/Day 12/162-fsm_onehot.sv</x:v>
      </x:c>
      <x:c r="C457" s="15" t="str">
        <x:v>RTL</x:v>
      </x:c>
      <x:c r="D457" s="15" t="str">
        <x:v>top_module</x:v>
      </x:c>
      <x:c r="E457" s="15" t="str">
        <x:v>in, state</x:v>
      </x:c>
      <x:c r="F457" s="15" t="str">
        <x:v>next_state, out1, out2</x:v>
      </x:c>
      <x:c r="G457" s="15" t="str">
        <x:v>HDL-157</x:v>
      </x:c>
      <x:c r="H457" s="26" t="str">
        <x:v>https://github.com/kapiltrip/hdlBits/blob/fc3f2b993a1e202ef42a8e831c29f8f287f85e7a/HDLBits%20Attempt%201/study/solutions/Day%2012/162-fsm_onehot.sv</x:v>
      </x:c>
      <x:c r="I457" s="15" t="str">
        <x:v>fc3f2b993a1e202ef42a8e831c29f8f287f85e7a</x:v>
      </x:c>
    </x:row>
    <x:row r="458" ht="54" customHeight="1">
      <x:c r="A458" s="4" t="str">
        <x:v>hdlBits</x:v>
      </x:c>
      <x:c r="B458" s="4" t="str">
        <x:v>HDLBits Attempt 1/study/solutions/Day 12/163-fsm_serial.sv</x:v>
      </x:c>
      <x:c r="C458" s="4" t="str">
        <x:v>RTL</x:v>
      </x:c>
      <x:c r="D458" s="4" t="str">
        <x:v>top_module</x:v>
      </x:c>
      <x:c r="E458" s="4" t="str">
        <x:v>clk, in, reset</x:v>
      </x:c>
      <x:c r="F458" s="4" t="str">
        <x:v>done</x:v>
      </x:c>
      <x:c r="G458" s="4" t="str">
        <x:v>HDL-158</x:v>
      </x:c>
      <x:c r="H458" s="25" t="str">
        <x:v>https://github.com/kapiltrip/hdlBits/blob/fc3f2b993a1e202ef42a8e831c29f8f287f85e7a/HDLBits%20Attempt%201/study/solutions/Day%2012/163-fsm_serial.sv</x:v>
      </x:c>
      <x:c r="I458" s="4" t="str">
        <x:v>fc3f2b993a1e202ef42a8e831c29f8f287f85e7a</x:v>
      </x:c>
    </x:row>
    <x:row r="459" ht="54" customHeight="1">
      <x:c r="A459" s="15" t="str">
        <x:v>hdlBits</x:v>
      </x:c>
      <x:c r="B459" s="15" t="str">
        <x:v>HDLBits Attempt 1/study/solutions/Day 12/164-fsm_serialdata.sv</x:v>
      </x:c>
      <x:c r="C459" s="15" t="str">
        <x:v>RTL</x:v>
      </x:c>
      <x:c r="D459" s="15" t="str">
        <x:v>top_module</x:v>
      </x:c>
      <x:c r="E459" s="15" t="str">
        <x:v>clk, in, reset</x:v>
      </x:c>
      <x:c r="F459" s="15" t="str">
        <x:v>out_byte, done</x:v>
      </x:c>
      <x:c r="G459" s="15" t="str">
        <x:v>HDL-159</x:v>
      </x:c>
      <x:c r="H459" s="26" t="str">
        <x:v>https://github.com/kapiltrip/hdlBits/blob/fc3f2b993a1e202ef42a8e831c29f8f287f85e7a/HDLBits%20Attempt%201/study/solutions/Day%2012/164-fsm_serialdata.sv</x:v>
      </x:c>
      <x:c r="I459" s="15" t="str">
        <x:v>fc3f2b993a1e202ef42a8e831c29f8f287f85e7a</x:v>
      </x:c>
    </x:row>
    <x:row r="460" ht="54" customHeight="1">
      <x:c r="A460" s="4" t="str">
        <x:v>hdlBits</x:v>
      </x:c>
      <x:c r="B460" s="4" t="str">
        <x:v>HDLBits Attempt 1/study/solutions/Day 13/165-fsm_serialdp.sv</x:v>
      </x:c>
      <x:c r="C460" s="4" t="str">
        <x:v>RTL</x:v>
      </x:c>
      <x:c r="D460" s="4" t="str">
        <x:v>top_module</x:v>
      </x:c>
      <x:c r="E460" s="4" t="str">
        <x:v>clk, in, reset</x:v>
      </x:c>
      <x:c r="F460" s="4" t="str">
        <x:v>out_byte, done</x:v>
      </x:c>
      <x:c r="G460" s="4" t="str">
        <x:v>HDL-160</x:v>
      </x:c>
      <x:c r="H460" s="25" t="str">
        <x:v>https://github.com/kapiltrip/hdlBits/blob/fc3f2b993a1e202ef42a8e831c29f8f287f85e7a/HDLBits%20Attempt%201/study/solutions/Day%2013/165-fsm_serialdp.sv</x:v>
      </x:c>
      <x:c r="I460" s="4" t="str">
        <x:v>fc3f2b993a1e202ef42a8e831c29f8f287f85e7a</x:v>
      </x:c>
    </x:row>
    <x:row r="461" ht="54" customHeight="1">
      <x:c r="A461" s="15" t="str">
        <x:v>hdlBits</x:v>
      </x:c>
      <x:c r="B461" s="15" t="str">
        <x:v>HDLBits Attempt 1/study/solutions/Day 13/166-fsm_ps2.sv</x:v>
      </x:c>
      <x:c r="C461" s="15" t="str">
        <x:v>RTL</x:v>
      </x:c>
      <x:c r="D461" s="15" t="str">
        <x:v>top_module</x:v>
      </x:c>
      <x:c r="E461" s="15" t="str">
        <x:v>clk, in, reset</x:v>
      </x:c>
      <x:c r="F461" s="15" t="str">
        <x:v>done</x:v>
      </x:c>
      <x:c r="G461" s="15" t="str">
        <x:v>HDL-161</x:v>
      </x:c>
      <x:c r="H461" s="26" t="str">
        <x:v>https://github.com/kapiltrip/hdlBits/blob/fc3f2b993a1e202ef42a8e831c29f8f287f85e7a/HDLBits%20Attempt%201/study/solutions/Day%2013/166-fsm_ps2.sv</x:v>
      </x:c>
      <x:c r="I461" s="15" t="str">
        <x:v>fc3f2b993a1e202ef42a8e831c29f8f287f85e7a</x:v>
      </x:c>
    </x:row>
    <x:row r="462" ht="54" customHeight="1">
      <x:c r="A462" s="4" t="str">
        <x:v>hdlBits</x:v>
      </x:c>
      <x:c r="B462" s="4" t="str">
        <x:v>HDLBits Attempt 1/study/solutions/Day 13/167-fsm_ps2data.sv</x:v>
      </x:c>
      <x:c r="C462" s="4" t="str">
        <x:v>RTL</x:v>
      </x:c>
      <x:c r="D462" s="4" t="str">
        <x:v>top_module</x:v>
      </x:c>
      <x:c r="E462" s="4" t="str">
        <x:v>clk, in, reset</x:v>
      </x:c>
      <x:c r="F462" s="4" t="str">
        <x:v>out_bytes, done</x:v>
      </x:c>
      <x:c r="G462" s="4" t="str">
        <x:v>HDL-162</x:v>
      </x:c>
      <x:c r="H462" s="25" t="str">
        <x:v>https://github.com/kapiltrip/hdlBits/blob/fc3f2b993a1e202ef42a8e831c29f8f287f85e7a/HDLBits%20Attempt%201/study/solutions/Day%2013/167-fsm_ps2data.sv</x:v>
      </x:c>
      <x:c r="I462" s="4" t="str">
        <x:v>fc3f2b993a1e202ef42a8e831c29f8f287f85e7a</x:v>
      </x:c>
    </x:row>
    <x:row r="463" ht="54" customHeight="1">
      <x:c r="A463" s="15" t="str">
        <x:v>hdlBits</x:v>
      </x:c>
      <x:c r="B463" s="15" t="str">
        <x:v>HDLBits Attempt 1/study/solutions/Day 13/168-fsm_hdlc.sv</x:v>
      </x:c>
      <x:c r="C463" s="15" t="str">
        <x:v>RTL</x:v>
      </x:c>
      <x:c r="D463" s="15" t="str">
        <x:v>top_module</x:v>
      </x:c>
      <x:c r="E463" s="15" t="str">
        <x:v>clk, reset, in</x:v>
      </x:c>
      <x:c r="F463" s="15" t="str">
        <x:v>disc, flag, err</x:v>
      </x:c>
      <x:c r="G463" s="15" t="str">
        <x:v>HDL-163</x:v>
      </x:c>
      <x:c r="H463" s="26" t="str">
        <x:v>https://github.com/kapiltrip/hdlBits/blob/fc3f2b993a1e202ef42a8e831c29f8f287f85e7a/HDLBits%20Attempt%201/study/solutions/Day%2013/168-fsm_hdlc.sv</x:v>
      </x:c>
      <x:c r="I463" s="15" t="str">
        <x:v>fc3f2b993a1e202ef42a8e831c29f8f287f85e7a</x:v>
      </x:c>
    </x:row>
    <x:row r="464" ht="54" customHeight="1">
      <x:c r="A464" s="4" t="str">
        <x:v>hdlBits</x:v>
      </x:c>
      <x:c r="B464" s="4" t="str">
        <x:v>HDLBits Attempt 1/study/solutions/Day 13/169-exams__ece241_2014_q5a.sv</x:v>
      </x:c>
      <x:c r="C464" s="4" t="str">
        <x:v>RTL</x:v>
      </x:c>
      <x:c r="D464" s="4" t="str">
        <x:v>top_module</x:v>
      </x:c>
      <x:c r="E464" s="4" t="str">
        <x:v>clk, areset, x</x:v>
      </x:c>
      <x:c r="F464" s="4" t="str">
        <x:v>z</x:v>
      </x:c>
      <x:c r="G464" s="4" t="str">
        <x:v>HDL-164</x:v>
      </x:c>
      <x:c r="H464" s="25" t="str">
        <x:v>https://github.com/kapiltrip/hdlBits/blob/fc3f2b993a1e202ef42a8e831c29f8f287f85e7a/HDLBits%20Attempt%201/study/solutions/Day%2013/169-exams__ece241_2014_q5a.sv</x:v>
      </x:c>
      <x:c r="I464" s="4" t="str">
        <x:v>fc3f2b993a1e202ef42a8e831c29f8f287f85e7a</x:v>
      </x:c>
    </x:row>
    <x:row r="465" ht="54" customHeight="1">
      <x:c r="A465" s="15" t="str">
        <x:v>hdlBits</x:v>
      </x:c>
      <x:c r="B465" s="15" t="str">
        <x:v>HDLBits Attempt 1/study/solutions/Day 13/170-exams__ece241_2014_q5b.sv</x:v>
      </x:c>
      <x:c r="C465" s="15" t="str">
        <x:v>RTL</x:v>
      </x:c>
      <x:c r="D465" s="15" t="str">
        <x:v>top_module</x:v>
      </x:c>
      <x:c r="E465" s="15" t="str">
        <x:v>clk, areset, x</x:v>
      </x:c>
      <x:c r="F465" s="15" t="str">
        <x:v>z</x:v>
      </x:c>
      <x:c r="G465" s="15" t="str">
        <x:v>HDL-165</x:v>
      </x:c>
      <x:c r="H465" s="26" t="str">
        <x:v>https://github.com/kapiltrip/hdlBits/blob/fc3f2b993a1e202ef42a8e831c29f8f287f85e7a/HDLBits%20Attempt%201/study/solutions/Day%2013/170-exams__ece241_2014_q5b.sv</x:v>
      </x:c>
      <x:c r="I465" s="15" t="str">
        <x:v>fc3f2b993a1e202ef42a8e831c29f8f287f85e7a</x:v>
      </x:c>
    </x:row>
    <x:row r="466" ht="54" customHeight="1">
      <x:c r="A466" s="4" t="str">
        <x:v>hdlBits</x:v>
      </x:c>
      <x:c r="B466" s="4" t="str">
        <x:v>HDLBits Attempt 1/study/solutions/Day 13/171-exams__m2014_q6b.sv</x:v>
      </x:c>
      <x:c r="C466" s="4" t="str">
        <x:v>RTL</x:v>
      </x:c>
      <x:c r="D466" s="4" t="str">
        <x:v>top_module</x:v>
      </x:c>
      <x:c r="E466" s="4" t="str">
        <x:v>y, w</x:v>
      </x:c>
      <x:c r="F466" s="4" t="str">
        <x:v>Y2</x:v>
      </x:c>
      <x:c r="G466" s="4" t="str">
        <x:v>HDL-166</x:v>
      </x:c>
      <x:c r="H466" s="25" t="str">
        <x:v>https://github.com/kapiltrip/hdlBits/blob/fc3f2b993a1e202ef42a8e831c29f8f287f85e7a/HDLBits%20Attempt%201/study/solutions/Day%2013/171-exams__m2014_q6b.sv</x:v>
      </x:c>
      <x:c r="I466" s="4" t="str">
        <x:v>fc3f2b993a1e202ef42a8e831c29f8f287f85e7a</x:v>
      </x:c>
    </x:row>
    <x:row r="467" ht="54" customHeight="1">
      <x:c r="A467" s="15" t="str">
        <x:v>hdlBits</x:v>
      </x:c>
      <x:c r="B467" s="15" t="str">
        <x:v>HDLBits Attempt 1/study/solutions/Day 13/172-exams__m2014_q6.sv</x:v>
      </x:c>
      <x:c r="C467" s="15" t="str">
        <x:v>RTL</x:v>
      </x:c>
      <x:c r="D467" s="15" t="str">
        <x:v>top_module</x:v>
      </x:c>
      <x:c r="E467" s="15" t="str">
        <x:v>clk, reset, w</x:v>
      </x:c>
      <x:c r="F467" s="15" t="str">
        <x:v>z</x:v>
      </x:c>
      <x:c r="G467" s="15" t="str">
        <x:v>HDL-167</x:v>
      </x:c>
      <x:c r="H467" s="26" t="str">
        <x:v>https://github.com/kapiltrip/hdlBits/blob/fc3f2b993a1e202ef42a8e831c29f8f287f85e7a/HDLBits%20Attempt%201/study/solutions/Day%2013/172-exams__m2014_q6.sv</x:v>
      </x:c>
      <x:c r="I467" s="15" t="str">
        <x:v>fc3f2b993a1e202ef42a8e831c29f8f287f85e7a</x:v>
      </x:c>
    </x:row>
    <x:row r="468" ht="54" customHeight="1">
      <x:c r="A468" s="4" t="str">
        <x:v>hdlBits</x:v>
      </x:c>
      <x:c r="B468" s="4" t="str">
        <x:v>HDLBits Attempt 1/study/solutions/Day 13/173-exams__2012_q2fsm.sv</x:v>
      </x:c>
      <x:c r="C468" s="4" t="str">
        <x:v>RTL</x:v>
      </x:c>
      <x:c r="D468" s="4" t="str">
        <x:v>top_module</x:v>
      </x:c>
      <x:c r="E468" s="4" t="str">
        <x:v>clk, reset, w</x:v>
      </x:c>
      <x:c r="F468" s="4" t="str">
        <x:v>z</x:v>
      </x:c>
      <x:c r="G468" s="4" t="str">
        <x:v>HDL-168</x:v>
      </x:c>
      <x:c r="H468" s="25" t="str">
        <x:v>https://github.com/kapiltrip/hdlBits/blob/fc3f2b993a1e202ef42a8e831c29f8f287f85e7a/HDLBits%20Attempt%201/study/solutions/Day%2013/173-exams__2012_q2fsm.sv</x:v>
      </x:c>
      <x:c r="I468" s="4" t="str">
        <x:v>fc3f2b993a1e202ef42a8e831c29f8f287f85e7a</x:v>
      </x:c>
    </x:row>
    <x:row r="469" ht="54" customHeight="1">
      <x:c r="A469" s="15" t="str">
        <x:v>hdlBits</x:v>
      </x:c>
      <x:c r="B469" s="15" t="str">
        <x:v>HDLBits Attempt 1/study/solutions/Day 13/174-exams__2012_q2b.sv</x:v>
      </x:c>
      <x:c r="C469" s="15" t="str">
        <x:v>RTL</x:v>
      </x:c>
      <x:c r="D469" s="15" t="str">
        <x:v>top_module</x:v>
      </x:c>
      <x:c r="E469" s="15" t="str">
        <x:v>y, w</x:v>
      </x:c>
      <x:c r="F469" s="15" t="str">
        <x:v>Y1, Y3</x:v>
      </x:c>
      <x:c r="G469" s="15" t="str">
        <x:v>HDL-169</x:v>
      </x:c>
      <x:c r="H469" s="26" t="str">
        <x:v>https://github.com/kapiltrip/hdlBits/blob/fc3f2b993a1e202ef42a8e831c29f8f287f85e7a/HDLBits%20Attempt%201/study/solutions/Day%2013/174-exams__2012_q2b.sv</x:v>
      </x:c>
      <x:c r="I469" s="15" t="str">
        <x:v>fc3f2b993a1e202ef42a8e831c29f8f287f85e7a</x:v>
      </x:c>
    </x:row>
    <x:row r="470" ht="54" customHeight="1">
      <x:c r="A470" s="4" t="str">
        <x:v>hdlBits</x:v>
      </x:c>
      <x:c r="B470" s="4" t="str">
        <x:v>HDLBits Attempt 1/study/solutions/Day 14/175-rule90.sv</x:v>
      </x:c>
      <x:c r="C470" s="4" t="str">
        <x:v>RTL</x:v>
      </x:c>
      <x:c r="D470" s="4" t="str">
        <x:v>top_module</x:v>
      </x:c>
      <x:c r="E470" s="4" t="str">
        <x:v>clk, load, data</x:v>
      </x:c>
      <x:c r="F470" s="4" t="str">
        <x:v>q</x:v>
      </x:c>
      <x:c r="G470" s="4" t="str">
        <x:v>HDL-170</x:v>
      </x:c>
      <x:c r="H470" s="25" t="str">
        <x:v>https://github.com/kapiltrip/hdlBits/blob/fc3f2b993a1e202ef42a8e831c29f8f287f85e7a/HDLBits%20Attempt%201/study/solutions/Day%2014/175-rule90.sv</x:v>
      </x:c>
      <x:c r="I470" s="4" t="str">
        <x:v>fc3f2b993a1e202ef42a8e831c29f8f287f85e7a</x:v>
      </x:c>
    </x:row>
    <x:row r="471" ht="54" customHeight="1">
      <x:c r="A471" s="15" t="str">
        <x:v>hdlBits</x:v>
      </x:c>
      <x:c r="B471" s="15" t="str">
        <x:v>HDLBits Attempt 1/study/solutions/Day 14/176-rule110.sv</x:v>
      </x:c>
      <x:c r="C471" s="15" t="str">
        <x:v>RTL</x:v>
      </x:c>
      <x:c r="D471" s="15" t="str">
        <x:v>top_module</x:v>
      </x:c>
      <x:c r="E471" s="15" t="str">
        <x:v>clk, load, data</x:v>
      </x:c>
      <x:c r="F471" s="15" t="str">
        <x:v>q</x:v>
      </x:c>
      <x:c r="G471" s="15" t="str">
        <x:v>HDL-171</x:v>
      </x:c>
      <x:c r="H471" s="26" t="str">
        <x:v>https://github.com/kapiltrip/hdlBits/blob/fc3f2b993a1e202ef42a8e831c29f8f287f85e7a/HDLBits%20Attempt%201/study/solutions/Day%2014/176-rule110.sv</x:v>
      </x:c>
      <x:c r="I471" s="15" t="str">
        <x:v>fc3f2b993a1e202ef42a8e831c29f8f287f85e7a</x:v>
      </x:c>
    </x:row>
    <x:row r="472" ht="54" customHeight="1">
      <x:c r="A472" s="4" t="str">
        <x:v>hdlBits</x:v>
      </x:c>
      <x:c r="B472" s="4" t="str">
        <x:v>HDLBits Attempt 1/study/solutions/Day 14/177-exams__2013_q2afsm.sv</x:v>
      </x:c>
      <x:c r="C472" s="4" t="str">
        <x:v>RTL</x:v>
      </x:c>
      <x:c r="D472" s="4" t="str">
        <x:v>top_module</x:v>
      </x:c>
      <x:c r="E472" s="4" t="str">
        <x:v>clk, resetn, r</x:v>
      </x:c>
      <x:c r="F472" s="4" t="str">
        <x:v>g</x:v>
      </x:c>
      <x:c r="G472" s="4" t="str">
        <x:v>HDL-172</x:v>
      </x:c>
      <x:c r="H472" s="25" t="str">
        <x:v>https://github.com/kapiltrip/hdlBits/blob/fc3f2b993a1e202ef42a8e831c29f8f287f85e7a/HDLBits%20Attempt%201/study/solutions/Day%2014/177-exams__2013_q2afsm.sv</x:v>
      </x:c>
      <x:c r="I472" s="4" t="str">
        <x:v>fc3f2b993a1e202ef42a8e831c29f8f287f85e7a</x:v>
      </x:c>
    </x:row>
    <x:row r="473" ht="54" customHeight="1">
      <x:c r="A473" s="15" t="str">
        <x:v>hdlBits</x:v>
      </x:c>
      <x:c r="B473" s="15" t="str">
        <x:v>HDLBits Attempt 1/study/solutions/Day 14/178-exams__review2015_fsmonehot.sv</x:v>
      </x:c>
      <x:c r="C473" s="15" t="str">
        <x:v>RTL</x:v>
      </x:c>
      <x:c r="D473" s="15" t="str">
        <x:v>top_module</x:v>
      </x:c>
      <x:c r="E473" s="15" t="str">
        <x:v>d, done_counting, ack, state</x:v>
      </x:c>
      <x:c r="F473" s="15" t="str">
        <x:v>B3_next, S_next, S1_next, Count_next, Wait_next, done, counting, shift_ena</x:v>
      </x:c>
      <x:c r="G473" s="15" t="str">
        <x:v>HDL-173</x:v>
      </x:c>
      <x:c r="H473" s="26" t="str">
        <x:v>https://github.com/kapiltrip/hdlBits/blob/fc3f2b993a1e202ef42a8e831c29f8f287f85e7a/HDLBits%20Attempt%201/study/solutions/Day%2014/178-exams__review2015_fsmonehot.sv</x:v>
      </x:c>
      <x:c r="I473" s="15" t="str">
        <x:v>fc3f2b993a1e202ef42a8e831c29f8f287f85e7a</x:v>
      </x:c>
    </x:row>
    <x:row r="474" ht="54" customHeight="1">
      <x:c r="A474" s="4" t="str">
        <x:v>hdlBits</x:v>
      </x:c>
      <x:c r="B474" s="4" t="str">
        <x:v>HDLBits Attempt 1/study/solutions/Day 14/179-conwaylife.sv</x:v>
      </x:c>
      <x:c r="C474" s="4" t="str">
        <x:v>RTL</x:v>
      </x:c>
      <x:c r="D474" s="4" t="str">
        <x:v>top_module</x:v>
      </x:c>
      <x:c r="E474" s="4" t="str">
        <x:v>clk, load, data</x:v>
      </x:c>
      <x:c r="F474" s="4" t="str">
        <x:v>q</x:v>
      </x:c>
      <x:c r="G474" s="4" t="str">
        <x:v>HDL-174</x:v>
      </x:c>
      <x:c r="H474" s="25" t="str">
        <x:v>https://github.com/kapiltrip/hdlBits/blob/fc3f2b993a1e202ef42a8e831c29f8f287f85e7a/HDLBits%20Attempt%201/study/solutions/Day%2014/179-conwaylife.sv</x:v>
      </x:c>
      <x:c r="I474" s="4" t="str">
        <x:v>fc3f2b993a1e202ef42a8e831c29f8f287f85e7a</x:v>
      </x:c>
    </x:row>
    <x:row r="475" ht="54" customHeight="1">
      <x:c r="A475" s="15" t="str">
        <x:v>hdlBits</x:v>
      </x:c>
      <x:c r="B475" s="15" t="str">
        <x:v>HDLBits Attempt 2/internal/Discussion Drafts/fsm_hdlc_discussion.v</x:v>
      </x:c>
      <x:c r="C475" s="15" t="str">
        <x:v>RTL</x:v>
      </x:c>
      <x:c r="D475" s="15" t="str">
        <x:v>top_module</x:v>
      </x:c>
      <x:c r="E475" s="15" t="str">
        <x:v>clk, reset, in</x:v>
      </x:c>
      <x:c r="F475" s="15" t="str">
        <x:v>disc, flag, err</x:v>
      </x:c>
      <x:c r="G475" s="15" t="str">
        <x:v>HDL-175</x:v>
      </x:c>
      <x:c r="H475" s="26" t="str">
        <x:v>https://github.com/kapiltrip/hdlBits/blob/fc3f2b993a1e202ef42a8e831c29f8f287f85e7a/HDLBits%20Attempt%202/internal/Discussion%20Drafts/fsm_hdlc_discussion.v</x:v>
      </x:c>
      <x:c r="I475" s="15" t="str">
        <x:v>fc3f2b993a1e202ef42a8e831c29f8f287f85e7a</x:v>
      </x:c>
    </x:row>
    <x:row r="476" ht="54" customHeight="1">
      <x:c r="A476" s="4" t="str">
        <x:v>hdlBits</x:v>
      </x:c>
      <x:c r="B476" s="4" t="str">
        <x:v>HDLBits Attempt 2/internal/Discussion Drafts/fsm_hdlc_working_moore.v</x:v>
      </x:c>
      <x:c r="C476" s="4" t="str">
        <x:v>RTL</x:v>
      </x:c>
      <x:c r="D476" s="4" t="str">
        <x:v>top_module</x:v>
      </x:c>
      <x:c r="E476" s="4" t="str">
        <x:v>clk, reset, in</x:v>
      </x:c>
      <x:c r="F476" s="4" t="str">
        <x:v>disc, flag, err</x:v>
      </x:c>
      <x:c r="G476" s="4" t="str">
        <x:v>HDL-176</x:v>
      </x:c>
      <x:c r="H476" s="25" t="str">
        <x:v>https://github.com/kapiltrip/hdlBits/blob/fc3f2b993a1e202ef42a8e831c29f8f287f85e7a/HDLBits%20Attempt%202/internal/Discussion%20Drafts/fsm_hdlc_working_moore.v</x:v>
      </x:c>
      <x:c r="I476" s="4" t="str">
        <x:v>fc3f2b993a1e202ef42a8e831c29f8f287f85e7a</x:v>
      </x:c>
    </x:row>
    <x:row r="477" ht="54" customHeight="1">
      <x:c r="A477" s="15" t="str">
        <x:v>hdlBits</x:v>
      </x:c>
      <x:c r="B477" s="15" t="str">
        <x:v>HDLBits Attempt 2/internal/Documentation/conway_reference.v</x:v>
      </x:c>
      <x:c r="C477" s="15" t="str">
        <x:v>RTL</x:v>
      </x:c>
      <x:c r="D477" s="15" t="str">
        <x:v>top_module</x:v>
      </x:c>
      <x:c r="E477" s="15" t="str">
        <x:v>clk, load, data</x:v>
      </x:c>
      <x:c r="F477" s="15" t="str">
        <x:v>q</x:v>
      </x:c>
      <x:c r="G477" s="15" t="str">
        <x:v>HDL-177</x:v>
      </x:c>
      <x:c r="H477" s="26" t="str">
        <x:v>https://github.com/kapiltrip/hdlBits/blob/fc3f2b993a1e202ef42a8e831c29f8f287f85e7a/HDLBits%20Attempt%202/internal/Documentation/conway_reference.v</x:v>
      </x:c>
      <x:c r="I477" s="15" t="str">
        <x:v>fc3f2b993a1e202ef42a8e831c29f8f287f85e7a</x:v>
      </x:c>
    </x:row>
    <x:row r="478" ht="54" customHeight="1">
      <x:c r="A478" s="4" t="str">
        <x:v>hdlBits</x:v>
      </x:c>
      <x:c r="B478" s="4" t="str">
        <x:v>HDLBits Attempt 2/internal/Documentation/conway_reference_tb.sv</x:v>
      </x:c>
      <x:c r="C478" s="4" t="str">
        <x:v>Existing testbench</x:v>
      </x:c>
      <x:c r="D478" s="4" t="str">
        <x:v>conway_reference_tb</x:v>
      </x:c>
      <x:c r="E478" s="4" t="str"/>
      <x:c r="F478" s="4" t="str"/>
      <x:c r="G478" s="4" t="str">
        <x:v>Supporting evidence only; map assertions to case IDs before claiming coverage.</x:v>
      </x:c>
      <x:c r="H478" s="25" t="str">
        <x:v>https://github.com/kapiltrip/hdlBits/blob/fc3f2b993a1e202ef42a8e831c29f8f287f85e7a/HDLBits%20Attempt%202/internal/Documentation/conway_reference_tb.sv</x:v>
      </x:c>
      <x:c r="I478" s="4" t="str">
        <x:v>fc3f2b993a1e202ef42a8e831c29f8f287f85e7a</x:v>
      </x:c>
    </x:row>
    <x:row r="479" ht="82" customHeight="1">
      <x:c r="A479" s="15" t="str">
        <x:v>hdlBits</x:v>
      </x:c>
      <x:c r="B479" s="15" t="str">
        <x:v>HDLBits Attempt 2/internal/Verification/day5_original_submission_selfcheck.sv</x:v>
      </x:c>
      <x:c r="C479" s="15" t="str">
        <x:v>Existing testbench</x:v>
      </x:c>
      <x:c r="D479" s="15" t="str">
        <x:v>edgedetect_review, q8_mealy_101_review, gates4_review, q5a_moore_twos_complement_review, circuit4_review, vector3_review, edgecapture_review, ringer_review, q5b_mealy_twos_complement_onehot_review, tb</x:v>
      </x:c>
      <x:c r="E479" s="15" t="str">
        <x:v>clk, in, aresetn, x, areset, a, b, c, d, e, f, reset, ring, vibrate_mode, actual, input, next_x, next_input</x:v>
      </x:c>
      <x:c r="F479" s="15" t="str">
        <x:v>pedge, z, out_and, out_or, out_xor, q, w, x, y, out, ringer, motor</x:v>
      </x:c>
      <x:c r="G479" s="15" t="str">
        <x:v>Supporting evidence only; map assertions to case IDs before claiming coverage.</x:v>
      </x:c>
      <x:c r="H479" s="26" t="str">
        <x:v>https://github.com/kapiltrip/hdlBits/blob/fc3f2b993a1e202ef42a8e831c29f8f287f85e7a/HDLBits%20Attempt%202/internal/Verification/day5_original_submission_selfcheck.sv</x:v>
      </x:c>
      <x:c r="I479" s="15" t="str">
        <x:v>fc3f2b993a1e202ef42a8e831c29f8f287f85e7a</x:v>
      </x:c>
    </x:row>
    <x:row r="480" ht="54" customHeight="1">
      <x:c r="A480" s="4" t="str">
        <x:v>hdlBits</x:v>
      </x:c>
      <x:c r="B480" s="4" t="str">
        <x:v>HDLBits Attempt 2/internal/Verification/day6_nonfsm_selfcheck.sv</x:v>
      </x:c>
      <x:c r="C480" s="4" t="str">
        <x:v>Existing testbench</x:v>
      </x:c>
      <x:c r="D480" s="4" t="str">
        <x:v>dualedge_mux_solution, dualedge_xor_solution, dualedge_or_bug, circuit5_solution, day6_nonfsm_selfcheck</x:v>
      </x:c>
      <x:c r="E480" s="4" t="str">
        <x:v>clk, d, a, b, c, e, next_d</x:v>
      </x:c>
      <x:c r="F480" s="4" t="str">
        <x:v>q</x:v>
      </x:c>
      <x:c r="G480" s="4" t="str">
        <x:v>Supporting evidence only; map assertions to case IDs before claiming coverage.</x:v>
      </x:c>
      <x:c r="H480" s="25" t="str">
        <x:v>https://github.com/kapiltrip/hdlBits/blob/fc3f2b993a1e202ef42a8e831c29f8f287f85e7a/HDLBits%20Attempt%202/internal/Verification/day6_nonfsm_selfcheck.sv</x:v>
      </x:c>
      <x:c r="I480" s="4" t="str">
        <x:v>fc3f2b993a1e202ef42a8e831c29f8f287f85e7a</x:v>
      </x:c>
    </x:row>
    <x:row r="481" ht="54" customHeight="1">
      <x:c r="A481" s="15" t="str">
        <x:v>hdlBits</x:v>
      </x:c>
      <x:c r="B481" s="15" t="str">
        <x:v>HDLBits Attempt 2/internal/Verification/day6_q3fsm_selfcheck.sv</x:v>
      </x:c>
      <x:c r="C481" s="15" t="str">
        <x:v>Existing testbench</x:v>
      </x:c>
      <x:c r="D481" s="15" t="str">
        <x:v>q3fsm_correct, q3fsm_reset_only_on_match_bug, day6_q3fsm_selfcheck</x:v>
      </x:c>
      <x:c r="E481" s="15" t="str">
        <x:v>clk, reset, s, w, samples</x:v>
      </x:c>
      <x:c r="F481" s="15" t="str">
        <x:v>z</x:v>
      </x:c>
      <x:c r="G481" s="15" t="str">
        <x:v>Supporting evidence only; map assertions to case IDs before claiming coverage.</x:v>
      </x:c>
      <x:c r="H481" s="26" t="str">
        <x:v>https://github.com/kapiltrip/hdlBits/blob/fc3f2b993a1e202ef42a8e831c29f8f287f85e7a/HDLBits%20Attempt%202/internal/Verification/day6_q3fsm_selfcheck.sv</x:v>
      </x:c>
      <x:c r="I481" s="15" t="str">
        <x:v>fc3f2b993a1e202ef42a8e831c29f8f287f85e7a</x:v>
      </x:c>
    </x:row>
    <x:row r="482" ht="54" customHeight="1">
      <x:c r="A482" s="4" t="str">
        <x:v>systemverilog-from-beginning</x:v>
      </x:c>
      <x:c r="B482" s="4" t="str">
        <x:v>SV Assertions/Codes/01-observed-deferred-immediate-assertion/testbench.sv</x:v>
      </x:c>
      <x:c r="C482" s="4" t="str">
        <x:v>Existing testbench</x:v>
      </x:c>
      <x:c r="D482" s="4" t="str">
        <x:v>tb</x:v>
      </x:c>
      <x:c r="E482" s="4" t="str"/>
      <x:c r="F482" s="4" t="str"/>
      <x:c r="G482" s="4" t="str">
        <x:v>Supporting evidence only; map assertions to case IDs before claiming coverage.</x:v>
      </x:c>
      <x:c r="H482" s="25" t="str">
        <x:v>https://github.com/kapiltrip/systemverilog-from-beginning/blob/318bd495dee245f946d7c72127cb698bcf6e6680/SV%20Assertions/Codes/01-observed-deferred-immediate-assertion/testbench.sv</x:v>
      </x:c>
      <x:c r="I482" s="4" t="str">
        <x:v>318bd495dee245f946d7c72127cb698bcf6e6680</x:v>
      </x:c>
    </x:row>
    <x:row r="483" ht="54" customHeight="1">
      <x:c r="A483" s="15" t="str">
        <x:v>systemverilog-from-beginning</x:v>
      </x:c>
      <x:c r="B483" s="15" t="str">
        <x:v>SV Assertions/Codes/02-immediate-assertions-in-a-mux/design.sv</x:v>
      </x:c>
      <x:c r="C483" s="15" t="str">
        <x:v>RTL</x:v>
      </x:c>
      <x:c r="D483" s="15" t="str">
        <x:v>mux</x:v>
      </x:c>
      <x:c r="E483" s="15" t="str">
        <x:v>a, b, c, d, sel</x:v>
      </x:c>
      <x:c r="F483" s="15" t="str">
        <x:v>y</x:v>
      </x:c>
      <x:c r="G483" s="15" t="str">
        <x:v>SV-016, SV-048</x:v>
      </x:c>
      <x:c r="H483" s="26" t="str">
        <x:v>https://github.com/kapiltrip/systemverilog-from-beginning/blob/318bd495dee245f946d7c72127cb698bcf6e6680/SV%20Assertions/Codes/02-immediate-assertions-in-a-mux/design.sv</x:v>
      </x:c>
      <x:c r="I483" s="15" t="str">
        <x:v>318bd495dee245f946d7c72127cb698bcf6e6680</x:v>
      </x:c>
    </x:row>
    <x:row r="484" ht="54" customHeight="1">
      <x:c r="A484" s="4" t="str">
        <x:v>systemverilog-from-beginning</x:v>
      </x:c>
      <x:c r="B484" s="4" t="str">
        <x:v>SV Assertions/Codes/02-immediate-assertions-in-a-mux/testbench.sv</x:v>
      </x:c>
      <x:c r="C484" s="4" t="str">
        <x:v>Existing testbench</x:v>
      </x:c>
      <x:c r="D484" s="4" t="str">
        <x:v>tb</x:v>
      </x:c>
      <x:c r="E484" s="4" t="str"/>
      <x:c r="F484" s="4" t="str"/>
      <x:c r="G484" s="4" t="str">
        <x:v>Supporting evidence only; map assertions to case IDs before claiming coverage.</x:v>
      </x:c>
      <x:c r="H484" s="25" t="str">
        <x:v>https://github.com/kapiltrip/systemverilog-from-beginning/blob/318bd495dee245f946d7c72127cb698bcf6e6680/SV%20Assertions/Codes/02-immediate-assertions-in-a-mux/testbench.sv</x:v>
      </x:c>
      <x:c r="I484" s="4" t="str">
        <x:v>318bd495dee245f946d7c72127cb698bcf6e6680</x:v>
      </x:c>
    </x:row>
    <x:row r="485" ht="54" customHeight="1">
      <x:c r="A485" s="15" t="str">
        <x:v>systemverilog-from-beginning</x:v>
      </x:c>
      <x:c r="B485" s="15" t="str">
        <x:v>SV Assertions/Codes/03-clocked-immediate-assertion-and-nba-timing/design.sv</x:v>
      </x:c>
      <x:c r="C485" s="15" t="str">
        <x:v>RTL</x:v>
      </x:c>
      <x:c r="D485" s="15" t="str">
        <x:v>dff</x:v>
      </x:c>
      <x:c r="E485" s="15" t="str">
        <x:v>d, rstn, clk</x:v>
      </x:c>
      <x:c r="F485" s="15" t="str">
        <x:v>q, qbar</x:v>
      </x:c>
      <x:c r="G485" s="15" t="str">
        <x:v>SV-017</x:v>
      </x:c>
      <x:c r="H485" s="26" t="str">
        <x:v>https://github.com/kapiltrip/systemverilog-from-beginning/blob/318bd495dee245f946d7c72127cb698bcf6e6680/SV%20Assertions/Codes/03-clocked-immediate-assertion-and-nba-timing/design.sv</x:v>
      </x:c>
      <x:c r="I485" s="15" t="str">
        <x:v>318bd495dee245f946d7c72127cb698bcf6e6680</x:v>
      </x:c>
    </x:row>
    <x:row r="486" ht="54" customHeight="1">
      <x:c r="A486" s="4" t="str">
        <x:v>systemverilog-from-beginning</x:v>
      </x:c>
      <x:c r="B486" s="4" t="str">
        <x:v>SV Assertions/Codes/03-clocked-immediate-assertion-and-nba-timing/testbench.sv</x:v>
      </x:c>
      <x:c r="C486" s="4" t="str">
        <x:v>Existing testbench</x:v>
      </x:c>
      <x:c r="D486" s="4" t="str">
        <x:v>tb</x:v>
      </x:c>
      <x:c r="E486" s="4" t="str"/>
      <x:c r="F486" s="4" t="str"/>
      <x:c r="G486" s="4" t="str">
        <x:v>Supporting evidence only; map assertions to case IDs before claiming coverage.</x:v>
      </x:c>
      <x:c r="H486" s="25" t="str">
        <x:v>https://github.com/kapiltrip/systemverilog-from-beginning/blob/318bd495dee245f946d7c72127cb698bcf6e6680/SV%20Assertions/Codes/03-clocked-immediate-assertion-and-nba-timing/testbench.sv</x:v>
      </x:c>
      <x:c r="I486" s="4" t="str">
        <x:v>318bd495dee245f946d7c72127cb698bcf6e6680</x:v>
      </x:c>
    </x:row>
    <x:row r="487" ht="54" customHeight="1">
      <x:c r="A487" s="15" t="str">
        <x:v>systemverilog-from-beginning</x:v>
      </x:c>
      <x:c r="B487" s="15" t="str">
        <x:v>SV Assertions/Codes/04-assertion-control-and-disable/testbench.sv</x:v>
      </x:c>
      <x:c r="C487" s="15" t="str">
        <x:v>Existing testbench</x:v>
      </x:c>
      <x:c r="D487" s="15" t="str">
        <x:v>tb</x:v>
      </x:c>
      <x:c r="E487" s="15" t="str"/>
      <x:c r="F487" s="15" t="str"/>
      <x:c r="G487" s="15" t="str">
        <x:v>Supporting evidence only; map assertions to case IDs before claiming coverage.</x:v>
      </x:c>
      <x:c r="H487" s="26" t="str">
        <x:v>https://github.com/kapiltrip/systemverilog-from-beginning/blob/318bd495dee245f946d7c72127cb698bcf6e6680/SV%20Assertions/Codes/04-assertion-control-and-disable/testbench.sv</x:v>
      </x:c>
      <x:c r="I487" s="15" t="str">
        <x:v>318bd495dee245f946d7c72127cb698bcf6e6680</x:v>
      </x:c>
    </x:row>
    <x:row r="488" ht="54" customHeight="1">
      <x:c r="A488" s="4" t="str">
        <x:v>systemverilog-from-beginning</x:v>
      </x:c>
      <x:c r="B488" s="4" t="str">
        <x:v>SV Assertions/Codes/05-assertion-building-blocks/testbench.sv</x:v>
      </x:c>
      <x:c r="C488" s="4" t="str">
        <x:v>Existing testbench</x:v>
      </x:c>
      <x:c r="D488" s="4" t="str">
        <x:v>(incomplete/no module)</x:v>
      </x:c>
      <x:c r="E488" s="4" t="str"/>
      <x:c r="F488" s="4" t="str"/>
      <x:c r="G488" s="4" t="str">
        <x:v>Supporting evidence only; map assertions to case IDs before claiming coverage.</x:v>
      </x:c>
      <x:c r="H488" s="25" t="str">
        <x:v>https://github.com/kapiltrip/systemverilog-from-beginning/blob/318bd495dee245f946d7c72127cb698bcf6e6680/SV%20Assertions/Codes/05-assertion-building-blocks/testbench.sv</x:v>
      </x:c>
      <x:c r="I488" s="4" t="str">
        <x:v>318bd495dee245f946d7c72127cb698bcf6e6680</x:v>
      </x:c>
    </x:row>
    <x:row r="489" ht="54" customHeight="1">
      <x:c r="A489" s="15" t="str">
        <x:v>systemverilog-from-beginning</x:v>
      </x:c>
      <x:c r="B489" s="15" t="str">
        <x:v>SV Assertions/Codes/06-overlapped-and-nonoverlapped-implication/testbench.sv</x:v>
      </x:c>
      <x:c r="C489" s="15" t="str">
        <x:v>Existing testbench</x:v>
      </x:c>
      <x:c r="D489" s="15" t="str">
        <x:v>tb</x:v>
      </x:c>
      <x:c r="E489" s="15" t="str"/>
      <x:c r="F489" s="15" t="str"/>
      <x:c r="G489" s="15" t="str">
        <x:v>Supporting evidence only; map assertions to case IDs before claiming coverage.</x:v>
      </x:c>
      <x:c r="H489" s="26" t="str">
        <x:v>https://github.com/kapiltrip/systemverilog-from-beginning/blob/318bd495dee245f946d7c72127cb698bcf6e6680/SV%20Assertions/Codes/06-overlapped-and-nonoverlapped-implication/testbench.sv</x:v>
      </x:c>
      <x:c r="I489" s="15" t="str">
        <x:v>318bd495dee245f946d7c72127cb698bcf6e6680</x:v>
      </x:c>
    </x:row>
    <x:row r="490" ht="54" customHeight="1">
      <x:c r="A490" s="4" t="str">
        <x:v>systemverilog-from-beginning</x:v>
      </x:c>
      <x:c r="B490" s="4" t="str">
        <x:v>SV Assertions/Codes/07-current-and-sampled-values/testbench.sv</x:v>
      </x:c>
      <x:c r="C490" s="4" t="str">
        <x:v>Existing testbench</x:v>
      </x:c>
      <x:c r="D490" s="4" t="str">
        <x:v>tb</x:v>
      </x:c>
      <x:c r="E490" s="4" t="str"/>
      <x:c r="F490" s="4" t="str"/>
      <x:c r="G490" s="4" t="str">
        <x:v>Supporting evidence only; map assertions to case IDs before claiming coverage.</x:v>
      </x:c>
      <x:c r="H490" s="25" t="str">
        <x:v>https://github.com/kapiltrip/systemverilog-from-beginning/blob/318bd495dee245f946d7c72127cb698bcf6e6680/SV%20Assertions/Codes/07-current-and-sampled-values/testbench.sv</x:v>
      </x:c>
      <x:c r="I490" s="4" t="str">
        <x:v>318bd495dee245f946d7c72127cb698bcf6e6680</x:v>
      </x:c>
    </x:row>
    <x:row r="491" ht="54" customHeight="1">
      <x:c r="A491" s="15" t="str">
        <x:v>systemverilog-from-beginning</x:v>
      </x:c>
      <x:c r="B491" s="15" t="str">
        <x:v>SV Assertions/Codes/08-reusable-sequences-and-properties/testbench.sv</x:v>
      </x:c>
      <x:c r="C491" s="15" t="str">
        <x:v>Existing testbench</x:v>
      </x:c>
      <x:c r="D491" s="15" t="str">
        <x:v>tb</x:v>
      </x:c>
      <x:c r="E491" s="15" t="str"/>
      <x:c r="F491" s="15" t="str"/>
      <x:c r="G491" s="15" t="str">
        <x:v>Supporting evidence only; map assertions to case IDs before claiming coverage.</x:v>
      </x:c>
      <x:c r="H491" s="26" t="str">
        <x:v>https://github.com/kapiltrip/systemverilog-from-beginning/blob/318bd495dee245f946d7c72127cb698bcf6e6680/SV%20Assertions/Codes/08-reusable-sequences-and-properties/testbench.sv</x:v>
      </x:c>
      <x:c r="I491" s="15" t="str">
        <x:v>318bd495dee245f946d7c72127cb698bcf6e6680</x:v>
      </x:c>
    </x:row>
    <x:row r="492" ht="54" customHeight="1">
      <x:c r="A492" s="4" t="str">
        <x:v>systemverilog-from-beginning</x:v>
      </x:c>
      <x:c r="B492" s="4" t="str">
        <x:v>SV Assertions/Codes/09-fell-and-sampled-transitions/testbench.sv</x:v>
      </x:c>
      <x:c r="C492" s="4" t="str">
        <x:v>Existing testbench</x:v>
      </x:c>
      <x:c r="D492" s="4" t="str">
        <x:v>tb</x:v>
      </x:c>
      <x:c r="E492" s="4" t="str"/>
      <x:c r="F492" s="4" t="str"/>
      <x:c r="G492" s="4" t="str">
        <x:v>Supporting evidence only; map assertions to case IDs before claiming coverage.</x:v>
      </x:c>
      <x:c r="H492" s="25" t="str">
        <x:v>https://github.com/kapiltrip/systemverilog-from-beginning/blob/318bd495dee245f946d7c72127cb698bcf6e6680/SV%20Assertions/Codes/09-fell-and-sampled-transitions/testbench.sv</x:v>
      </x:c>
      <x:c r="I492" s="4" t="str">
        <x:v>318bd495dee245f946d7c72127cb698bcf6e6680</x:v>
      </x:c>
    </x:row>
    <x:row r="493" ht="54" customHeight="1">
      <x:c r="A493" s="15" t="str">
        <x:v>systemverilog-from-beginning</x:v>
      </x:c>
      <x:c r="B493" s="15" t="str">
        <x:v>SV Assertions/Codes/10-gated-past-sampled-values/testbench.sv</x:v>
      </x:c>
      <x:c r="C493" s="15" t="str">
        <x:v>Existing testbench</x:v>
      </x:c>
      <x:c r="D493" s="15" t="str">
        <x:v>tb</x:v>
      </x:c>
      <x:c r="E493" s="15" t="str"/>
      <x:c r="F493" s="15" t="str"/>
      <x:c r="G493" s="15" t="str">
        <x:v>Supporting evidence only; map assertions to case IDs before claiming coverage.</x:v>
      </x:c>
      <x:c r="H493" s="26" t="str">
        <x:v>https://github.com/kapiltrip/systemverilog-from-beginning/blob/318bd495dee245f946d7c72127cb698bcf6e6680/SV%20Assertions/Codes/10-gated-past-sampled-values/testbench.sv</x:v>
      </x:c>
      <x:c r="I493" s="15" t="str">
        <x:v>318bd495dee245f946d7c72127cb698bcf6e6680</x:v>
      </x:c>
    </x:row>
    <x:row r="494" ht="54" customHeight="1">
      <x:c r="A494" s="4" t="str">
        <x:v>systemverilog-from-beginning</x:v>
      </x:c>
      <x:c r="B494" s="4" t="str">
        <x:v>SV Assertions/Codes/11-sampled-and-vector-system-functions/testbench.sv</x:v>
      </x:c>
      <x:c r="C494" s="4" t="str">
        <x:v>Existing testbench</x:v>
      </x:c>
      <x:c r="D494" s="4" t="str">
        <x:v>temp</x:v>
      </x:c>
      <x:c r="E494" s="4" t="str"/>
      <x:c r="F494" s="4" t="str"/>
      <x:c r="G494" s="4" t="str">
        <x:v>Supporting evidence only; map assertions to case IDs before claiming coverage.</x:v>
      </x:c>
      <x:c r="H494" s="25" t="str">
        <x:v>https://github.com/kapiltrip/systemverilog-from-beginning/blob/318bd495dee245f946d7c72127cb698bcf6e6680/SV%20Assertions/Codes/11-sampled-and-vector-system-functions/testbench.sv</x:v>
      </x:c>
      <x:c r="I494" s="4" t="str">
        <x:v>318bd495dee245f946d7c72127cb698bcf6e6680</x:v>
      </x:c>
    </x:row>
    <x:row r="495" ht="54" customHeight="1">
      <x:c r="A495" s="15" t="str">
        <x:v>systemverilog-from-beginning</x:v>
      </x:c>
      <x:c r="B495" s="15" t="str">
        <x:v>SV Assertions/Codes/12-clocking-events-and-disable-iff/testbench.sv</x:v>
      </x:c>
      <x:c r="C495" s="15" t="str">
        <x:v>Existing testbench</x:v>
      </x:c>
      <x:c r="D495" s="15" t="str">
        <x:v>tb</x:v>
      </x:c>
      <x:c r="E495" s="15" t="str"/>
      <x:c r="F495" s="15" t="str"/>
      <x:c r="G495" s="15" t="str">
        <x:v>Supporting evidence only; map assertions to case IDs before claiming coverage.</x:v>
      </x:c>
      <x:c r="H495" s="26" t="str">
        <x:v>https://github.com/kapiltrip/systemverilog-from-beginning/blob/318bd495dee245f946d7c72127cb698bcf6e6680/SV%20Assertions/Codes/12-clocking-events-and-disable-iff/testbench.sv</x:v>
      </x:c>
      <x:c r="I495" s="15" t="str">
        <x:v>318bd495dee245f946d7c72127cb698bcf6e6680</x:v>
      </x:c>
    </x:row>
    <x:row r="496" ht="54" customHeight="1">
      <x:c r="A496" s="4" t="str">
        <x:v>systemverilog-from-beginning</x:v>
      </x:c>
      <x:c r="B496" s="4" t="str">
        <x:v>SV Assertions/Codes/13-delay-operators-and-ranges/testbench.sv</x:v>
      </x:c>
      <x:c r="C496" s="4" t="str">
        <x:v>Existing testbench</x:v>
      </x:c>
      <x:c r="D496" s="4" t="str">
        <x:v>tb</x:v>
      </x:c>
      <x:c r="E496" s="4" t="str"/>
      <x:c r="F496" s="4" t="str"/>
      <x:c r="G496" s="4" t="str">
        <x:v>Supporting evidence only; map assertions to case IDs before claiming coverage.</x:v>
      </x:c>
      <x:c r="H496" s="25" t="str">
        <x:v>https://github.com/kapiltrip/systemverilog-from-beginning/blob/318bd495dee245f946d7c72127cb698bcf6e6680/SV%20Assertions/Codes/13-delay-operators-and-ranges/testbench.sv</x:v>
      </x:c>
      <x:c r="I496" s="4" t="str">
        <x:v>318bd495dee245f946d7c72127cb698bcf6e6680</x:v>
      </x:c>
    </x:row>
    <x:row r="497" ht="54" customHeight="1">
      <x:c r="A497" s="15" t="str">
        <x:v>systemverilog-from-beginning</x:v>
      </x:c>
      <x:c r="B497" s="15" t="str">
        <x:v>SV Assertions/Codes/14-strong-unbounded-eventuality/testbench.sv</x:v>
      </x:c>
      <x:c r="C497" s="15" t="str">
        <x:v>Existing testbench</x:v>
      </x:c>
      <x:c r="D497" s="15" t="str">
        <x:v>tb</x:v>
      </x:c>
      <x:c r="E497" s="15" t="str"/>
      <x:c r="F497" s="15" t="str"/>
      <x:c r="G497" s="15" t="str">
        <x:v>Supporting evidence only; map assertions to case IDs before claiming coverage.</x:v>
      </x:c>
      <x:c r="H497" s="26" t="str">
        <x:v>https://github.com/kapiltrip/systemverilog-from-beginning/blob/318bd495dee245f946d7c72127cb698bcf6e6680/SV%20Assertions/Codes/14-strong-unbounded-eventuality/testbench.sv</x:v>
      </x:c>
      <x:c r="I497" s="15" t="str">
        <x:v>318bd495dee245f946d7c72127cb698bcf6e6680</x:v>
      </x:c>
    </x:row>
    <x:row r="498" ht="54" customHeight="1">
      <x:c r="A498" s="4" t="str">
        <x:v>systemverilog-from-beginning</x:v>
      </x:c>
      <x:c r="B498" s="4" t="str">
        <x:v>SV Assertions/Codes/15-consecutive-repetition-ranges/testbench.sv</x:v>
      </x:c>
      <x:c r="C498" s="4" t="str">
        <x:v>Existing testbench</x:v>
      </x:c>
      <x:c r="D498" s="4" t="str">
        <x:v>tb</x:v>
      </x:c>
      <x:c r="E498" s="4" t="str"/>
      <x:c r="F498" s="4" t="str"/>
      <x:c r="G498" s="4" t="str">
        <x:v>Supporting evidence only; map assertions to case IDs before claiming coverage.</x:v>
      </x:c>
      <x:c r="H498" s="25" t="str">
        <x:v>https://github.com/kapiltrip/systemverilog-from-beginning/blob/318bd495dee245f946d7c72127cb698bcf6e6680/SV%20Assertions/Codes/15-consecutive-repetition-ranges/testbench.sv</x:v>
      </x:c>
      <x:c r="I498" s="4" t="str">
        <x:v>318bd495dee245f946d7c72127cb698bcf6e6680</x:v>
      </x:c>
    </x:row>
    <x:row r="499" ht="54" customHeight="1">
      <x:c r="A499" s="15" t="str">
        <x:v>systemverilog-from-beginning</x:v>
      </x:c>
      <x:c r="B499" s="15" t="str">
        <x:v>SV Assertions/Codes/16-consecutive-and-nonconsecutive-repetition/testbench.sv</x:v>
      </x:c>
      <x:c r="C499" s="15" t="str">
        <x:v>Existing testbench</x:v>
      </x:c>
      <x:c r="D499" s="15" t="str">
        <x:v>tb</x:v>
      </x:c>
      <x:c r="E499" s="15" t="str"/>
      <x:c r="F499" s="15" t="str"/>
      <x:c r="G499" s="15" t="str">
        <x:v>Supporting evidence only; map assertions to case IDs before claiming coverage.</x:v>
      </x:c>
      <x:c r="H499" s="26" t="str">
        <x:v>https://github.com/kapiltrip/systemverilog-from-beginning/blob/318bd495dee245f946d7c72127cb698bcf6e6680/SV%20Assertions/Codes/16-consecutive-and-nonconsecutive-repetition/testbench.sv</x:v>
      </x:c>
      <x:c r="I499" s="15" t="str">
        <x:v>318bd495dee245f946d7c72127cb698bcf6e6680</x:v>
      </x:c>
    </x:row>
    <x:row r="500" ht="54" customHeight="1">
      <x:c r="A500" s="4" t="str">
        <x:v>systemverilog-from-beginning</x:v>
      </x:c>
      <x:c r="B500" s="4" t="str">
        <x:v>SV Assertions/Codes/17-nonconsecutive-and-goto-repetition-ranges/testbench.sv</x:v>
      </x:c>
      <x:c r="C500" s="4" t="str">
        <x:v>Existing testbench</x:v>
      </x:c>
      <x:c r="D500" s="4" t="str">
        <x:v>tb</x:v>
      </x:c>
      <x:c r="E500" s="4" t="str"/>
      <x:c r="F500" s="4" t="str"/>
      <x:c r="G500" s="4" t="str">
        <x:v>Supporting evidence only; map assertions to case IDs before claiming coverage.</x:v>
      </x:c>
      <x:c r="H500" s="25" t="str">
        <x:v>https://github.com/kapiltrip/systemverilog-from-beginning/blob/318bd495dee245f946d7c72127cb698bcf6e6680/SV%20Assertions/Codes/17-nonconsecutive-and-goto-repetition-ranges/testbench.sv</x:v>
      </x:c>
      <x:c r="I500" s="4" t="str">
        <x:v>318bd495dee245f946d7c72127cb698bcf6e6680</x:v>
      </x:c>
    </x:row>
    <x:row r="501" ht="54" customHeight="1">
      <x:c r="A501" s="15" t="str">
        <x:v>systemverilog-from-beginning</x:v>
      </x:c>
      <x:c r="B501" s="15" t="str">
        <x:v>SV Assertions/Codes/18-sequence-or-operator/testbench.sv</x:v>
      </x:c>
      <x:c r="C501" s="15" t="str">
        <x:v>Existing testbench</x:v>
      </x:c>
      <x:c r="D501" s="15" t="str">
        <x:v>tb</x:v>
      </x:c>
      <x:c r="E501" s="15" t="str"/>
      <x:c r="F501" s="15" t="str"/>
      <x:c r="G501" s="15" t="str">
        <x:v>Supporting evidence only; map assertions to case IDs before claiming coverage.</x:v>
      </x:c>
      <x:c r="H501" s="26" t="str">
        <x:v>https://github.com/kapiltrip/systemverilog-from-beginning/blob/318bd495dee245f946d7c72127cb698bcf6e6680/SV%20Assertions/Codes/18-sequence-or-operator/testbench.sv</x:v>
      </x:c>
      <x:c r="I501" s="15" t="str">
        <x:v>318bd495dee245f946d7c72127cb698bcf6e6680</x:v>
      </x:c>
    </x:row>
    <x:row r="502" ht="54" customHeight="1">
      <x:c r="A502" s="4" t="str">
        <x:v>systemverilog-from-beginning</x:v>
      </x:c>
      <x:c r="B502" s="4" t="str">
        <x:v>SV Assertions/Codes/19-sequence-and-not-strong/testbench.sv</x:v>
      </x:c>
      <x:c r="C502" s="4" t="str">
        <x:v>Existing testbench</x:v>
      </x:c>
      <x:c r="D502" s="4" t="str">
        <x:v>tb</x:v>
      </x:c>
      <x:c r="E502" s="4" t="str"/>
      <x:c r="F502" s="4" t="str"/>
      <x:c r="G502" s="4" t="str">
        <x:v>Supporting evidence only; map assertions to case IDs before claiming coverage.</x:v>
      </x:c>
      <x:c r="H502" s="25" t="str">
        <x:v>https://github.com/kapiltrip/systemverilog-from-beginning/blob/318bd495dee245f946d7c72127cb698bcf6e6680/SV%20Assertions/Codes/19-sequence-and-not-strong/testbench.sv</x:v>
      </x:c>
      <x:c r="I502" s="4" t="str">
        <x:v>318bd495dee245f946d7c72127cb698bcf6e6680</x:v>
      </x:c>
    </x:row>
    <x:row r="503" ht="54" customHeight="1">
      <x:c r="A503" s="15" t="str">
        <x:v>systemverilog-from-beginning</x:v>
      </x:c>
      <x:c r="B503" s="15" t="str">
        <x:v>SV Assertions/Codes/20-throughout-within-and-intersect/testbench.sv</x:v>
      </x:c>
      <x:c r="C503" s="15" t="str">
        <x:v>Existing testbench</x:v>
      </x:c>
      <x:c r="D503" s="15" t="str">
        <x:v>tb</x:v>
      </x:c>
      <x:c r="E503" s="15" t="str"/>
      <x:c r="F503" s="15" t="str"/>
      <x:c r="G503" s="15" t="str">
        <x:v>Supporting evidence only; map assertions to case IDs before claiming coverage.</x:v>
      </x:c>
      <x:c r="H503" s="26" t="str">
        <x:v>https://github.com/kapiltrip/systemverilog-from-beginning/blob/318bd495dee245f946d7c72127cb698bcf6e6680/SV%20Assertions/Codes/20-throughout-within-and-intersect/testbench.sv</x:v>
      </x:c>
      <x:c r="I503" s="15" t="str">
        <x:v>318bd495dee245f946d7c72127cb698bcf6e6680</x:v>
      </x:c>
    </x:row>
    <x:row r="504" ht="54" customHeight="1">
      <x:c r="A504" s="4" t="str">
        <x:v>systemverilog-from-beginning</x:v>
      </x:c>
      <x:c r="B504" s="4" t="str">
        <x:v>SV Assertions/Codes/21-eventually-and-always-property-operators/testbench.sv</x:v>
      </x:c>
      <x:c r="C504" s="4" t="str">
        <x:v>Existing testbench</x:v>
      </x:c>
      <x:c r="D504" s="4" t="str">
        <x:v>tb</x:v>
      </x:c>
      <x:c r="E504" s="4" t="str"/>
      <x:c r="F504" s="4" t="str"/>
      <x:c r="G504" s="4" t="str">
        <x:v>Supporting evidence only; map assertions to case IDs before claiming coverage.</x:v>
      </x:c>
      <x:c r="H504" s="25" t="str">
        <x:v>https://github.com/kapiltrip/systemverilog-from-beginning/blob/318bd495dee245f946d7c72127cb698bcf6e6680/SV%20Assertions/Codes/21-eventually-and-always-property-operators/testbench.sv</x:v>
      </x:c>
      <x:c r="I504" s="4" t="str">
        <x:v>318bd495dee245f946d7c72127cb698bcf6e6680</x:v>
      </x:c>
    </x:row>
    <x:row r="505" ht="54" customHeight="1">
      <x:c r="A505" s="15" t="str">
        <x:v>systemverilog-from-beginning</x:v>
      </x:c>
      <x:c r="B505" s="15" t="str">
        <x:v>SV Assertions/Codes/22-nexttime-and-strong-nexttime/testbench.sv</x:v>
      </x:c>
      <x:c r="C505" s="15" t="str">
        <x:v>Existing testbench</x:v>
      </x:c>
      <x:c r="D505" s="15" t="str">
        <x:v>tb</x:v>
      </x:c>
      <x:c r="E505" s="15" t="str"/>
      <x:c r="F505" s="15" t="str"/>
      <x:c r="G505" s="15" t="str">
        <x:v>Supporting evidence only; map assertions to case IDs before claiming coverage.</x:v>
      </x:c>
      <x:c r="H505" s="26" t="str">
        <x:v>https://github.com/kapiltrip/systemverilog-from-beginning/blob/318bd495dee245f946d7c72127cb698bcf6e6680/SV%20Assertions/Codes/22-nexttime-and-strong-nexttime/testbench.sv</x:v>
      </x:c>
      <x:c r="I505" s="15" t="str">
        <x:v>318bd495dee245f946d7c72127cb698bcf6e6680</x:v>
      </x:c>
    </x:row>
    <x:row r="506" ht="54" customHeight="1">
      <x:c r="A506" s="4" t="str">
        <x:v>systemverilog-from-beginning</x:v>
      </x:c>
      <x:c r="B506" s="4" t="str">
        <x:v>SV Assertions/Codes/23-followed-by-property-operators/testbench.sv</x:v>
      </x:c>
      <x:c r="C506" s="4" t="str">
        <x:v>Existing testbench</x:v>
      </x:c>
      <x:c r="D506" s="4" t="str">
        <x:v>tb</x:v>
      </x:c>
      <x:c r="E506" s="4" t="str"/>
      <x:c r="F506" s="4" t="str"/>
      <x:c r="G506" s="4" t="str">
        <x:v>Supporting evidence only; map assertions to case IDs before claiming coverage.</x:v>
      </x:c>
      <x:c r="H506" s="25" t="str">
        <x:v>https://github.com/kapiltrip/systemverilog-from-beginning/blob/318bd495dee245f946d7c72127cb698bcf6e6680/SV%20Assertions/Codes/23-followed-by-property-operators/testbench.sv</x:v>
      </x:c>
      <x:c r="I506" s="4" t="str">
        <x:v>318bd495dee245f946d7c72127cb698bcf6e6680</x:v>
      </x:c>
    </x:row>
    <x:row r="507" ht="54" customHeight="1">
      <x:c r="A507" s="15" t="str">
        <x:v>systemverilog-from-beginning</x:v>
      </x:c>
      <x:c r="B507" s="15" t="str">
        <x:v>SV Assertions/Codes/24-strong-until/testbench.sv</x:v>
      </x:c>
      <x:c r="C507" s="15" t="str">
        <x:v>Existing testbench</x:v>
      </x:c>
      <x:c r="D507" s="15" t="str">
        <x:v>tb</x:v>
      </x:c>
      <x:c r="E507" s="15" t="str"/>
      <x:c r="F507" s="15" t="str"/>
      <x:c r="G507" s="15" t="str">
        <x:v>Supporting evidence only; map assertions to case IDs before claiming coverage.</x:v>
      </x:c>
      <x:c r="H507" s="26" t="str">
        <x:v>https://github.com/kapiltrip/systemverilog-from-beginning/blob/318bd495dee245f946d7c72127cb698bcf6e6680/SV%20Assertions/Codes/24-strong-until/testbench.sv</x:v>
      </x:c>
      <x:c r="I507" s="15" t="str">
        <x:v>318bd495dee245f946d7c72127cb698bcf6e6680</x:v>
      </x:c>
    </x:row>
    <x:row r="508" ht="54" customHeight="1">
      <x:c r="A508" s="4" t="str">
        <x:v>systemverilog-from-beginning</x:v>
      </x:c>
      <x:c r="B508" s="4" t="str">
        <x:v>SV Assertions/Codes/25-property-local-variables/testbench.sv</x:v>
      </x:c>
      <x:c r="C508" s="4" t="str">
        <x:v>Existing testbench</x:v>
      </x:c>
      <x:c r="D508" s="4" t="str">
        <x:v>tb</x:v>
      </x:c>
      <x:c r="E508" s="4" t="str"/>
      <x:c r="F508" s="4" t="str"/>
      <x:c r="G508" s="4" t="str">
        <x:v>Supporting evidence only; map assertions to case IDs before claiming coverage.</x:v>
      </x:c>
      <x:c r="H508" s="25" t="str">
        <x:v>https://github.com/kapiltrip/systemverilog-from-beginning/blob/318bd495dee245f946d7c72127cb698bcf6e6680/SV%20Assertions/Codes/25-property-local-variables/testbench.sv</x:v>
      </x:c>
      <x:c r="I508" s="4" t="str">
        <x:v>318bd495dee245f946d7c72127cb698bcf6e6680</x:v>
      </x:c>
    </x:row>
    <x:row r="509" ht="54" customHeight="1">
      <x:c r="A509" s="15" t="str">
        <x:v>systemverilog-from-beginning</x:v>
      </x:c>
      <x:c r="B509" s="15" t="str">
        <x:v>SV Assertions/Codes/26-request-ack-local-snapshots/testbench.sv</x:v>
      </x:c>
      <x:c r="C509" s="15" t="str">
        <x:v>Existing testbench</x:v>
      </x:c>
      <x:c r="D509" s="15" t="str">
        <x:v>tb</x:v>
      </x:c>
      <x:c r="E509" s="15" t="str"/>
      <x:c r="F509" s="15" t="str"/>
      <x:c r="G509" s="15" t="str">
        <x:v>Supporting evidence only; map assertions to case IDs before claiming coverage.</x:v>
      </x:c>
      <x:c r="H509" s="26" t="str">
        <x:v>https://github.com/kapiltrip/systemverilog-from-beginning/blob/318bd495dee245f946d7c72127cb698bcf6e6680/SV%20Assertions/Codes/26-request-ack-local-snapshots/testbench.sv</x:v>
      </x:c>
      <x:c r="I509" s="15" t="str">
        <x:v>318bd495dee245f946d7c72127cb698bcf6e6680</x:v>
      </x:c>
    </x:row>
    <x:row r="510" ht="54" customHeight="1">
      <x:c r="A510" s="4" t="str">
        <x:v>systemverilog-from-beginning</x:v>
      </x:c>
      <x:c r="B510" s="4" t="str">
        <x:v>SV Assertions/Codes/27-request-ack-latency-with-local-time/testbench.sv</x:v>
      </x:c>
      <x:c r="C510" s="4" t="str">
        <x:v>Existing testbench</x:v>
      </x:c>
      <x:c r="D510" s="4" t="str">
        <x:v>tb</x:v>
      </x:c>
      <x:c r="E510" s="4" t="str"/>
      <x:c r="F510" s="4" t="str"/>
      <x:c r="G510" s="4" t="str">
        <x:v>Supporting evidence only; map assertions to case IDs before claiming coverage.</x:v>
      </x:c>
      <x:c r="H510" s="25" t="str">
        <x:v>https://github.com/kapiltrip/systemverilog-from-beginning/blob/318bd495dee245f946d7c72127cb698bcf6e6680/SV%20Assertions/Codes/27-request-ack-latency-with-local-time/testbench.sv</x:v>
      </x:c>
      <x:c r="I510" s="4" t="str">
        <x:v>318bd495dee245f946d7c72127cb698bcf6e6680</x:v>
      </x:c>
    </x:row>
    <x:row r="511" ht="54" customHeight="1">
      <x:c r="A511" s="15" t="str">
        <x:v>systemverilog-from-beginning</x:v>
      </x:c>
      <x:c r="B511" s="15" t="str">
        <x:v>SV Assertions/Codes/28-measuring-clock-period-with-property-local-time/testbench.sv</x:v>
      </x:c>
      <x:c r="C511" s="15" t="str">
        <x:v>Existing testbench</x:v>
      </x:c>
      <x:c r="D511" s="15" t="str">
        <x:v>tb</x:v>
      </x:c>
      <x:c r="E511" s="15" t="str"/>
      <x:c r="F511" s="15" t="str"/>
      <x:c r="G511" s="15" t="str">
        <x:v>Supporting evidence only; map assertions to case IDs before claiming coverage.</x:v>
      </x:c>
      <x:c r="H511" s="26" t="str">
        <x:v>https://github.com/kapiltrip/systemverilog-from-beginning/blob/318bd495dee245f946d7c72127cb698bcf6e6680/SV%20Assertions/Codes/28-measuring-clock-period-with-property-local-time/testbench.sv</x:v>
      </x:c>
      <x:c r="I511" s="15" t="str">
        <x:v>318bd495dee245f946d7c72127cb698bcf6e6680</x:v>
      </x:c>
    </x:row>
    <x:row r="512" ht="54" customHeight="1">
      <x:c r="A512" s="4" t="str">
        <x:v>systemverilog-from-beginning</x:v>
      </x:c>
      <x:c r="B512" s="4" t="str">
        <x:v>SV Assertions/Foundations/00-event-scheduling-regions-and-assertion-types/examples.sv</x:v>
      </x:c>
      <x:c r="C512" s="4" t="str">
        <x:v>Verification example</x:v>
      </x:c>
      <x:c r="D512" s="4" t="str">
        <x:v>assertion_region_examples</x:v>
      </x:c>
      <x:c r="E512" s="4" t="str"/>
      <x:c r="F512" s="4" t="str"/>
      <x:c r="G512" s="4" t="str">
        <x:v>Supporting evidence only; map assertions to case IDs before claiming coverage.</x:v>
      </x:c>
      <x:c r="H512" s="25" t="str">
        <x:v>https://github.com/kapiltrip/systemverilog-from-beginning/blob/318bd495dee245f946d7c72127cb698bcf6e6680/SV%20Assertions/Foundations/00-event-scheduling-regions-and-assertion-types/examples.sv</x:v>
      </x:c>
      <x:c r="I512" s="4" t="str">
        <x:v>318bd495dee245f946d7c72127cb698bcf6e6680</x:v>
      </x:c>
    </x:row>
    <x:row r="513" ht="54" customHeight="1">
      <x:c r="A513" s="15" t="str">
        <x:v>systemverilog-from-beginning</x:v>
      </x:c>
      <x:c r="B513" s="15" t="str">
        <x:v>SV Assertions/Projects/01-fsm-verification-with-sva/design.sv</x:v>
      </x:c>
      <x:c r="C513" s="15" t="str">
        <x:v>RTL</x:v>
      </x:c>
      <x:c r="D513" s="15" t="str">
        <x:v>fsm</x:v>
      </x:c>
      <x:c r="E513" s="15" t="str">
        <x:v>clk, rst, x</x:v>
      </x:c>
      <x:c r="F513" s="15" t="str">
        <x:v>y</x:v>
      </x:c>
      <x:c r="G513" s="15" t="str">
        <x:v>SV-018</x:v>
      </x:c>
      <x:c r="H513" s="26" t="str">
        <x:v>https://github.com/kapiltrip/systemverilog-from-beginning/blob/318bd495dee245f946d7c72127cb698bcf6e6680/SV%20Assertions/Projects/01-fsm-verification-with-sva/design.sv</x:v>
      </x:c>
      <x:c r="I513" s="15" t="str">
        <x:v>318bd495dee245f946d7c72127cb698bcf6e6680</x:v>
      </x:c>
    </x:row>
    <x:row r="514" ht="54" customHeight="1">
      <x:c r="A514" s="4" t="str">
        <x:v>systemverilog-from-beginning</x:v>
      </x:c>
      <x:c r="B514" s="4" t="str">
        <x:v>SV Assertions/Projects/01-fsm-verification-with-sva/testbench.sv</x:v>
      </x:c>
      <x:c r="C514" s="4" t="str">
        <x:v>Existing testbench</x:v>
      </x:c>
      <x:c r="D514" s="4" t="str">
        <x:v>tb</x:v>
      </x:c>
      <x:c r="E514" s="4" t="str"/>
      <x:c r="F514" s="4" t="str"/>
      <x:c r="G514" s="4" t="str">
        <x:v>Supporting evidence only; map assertions to case IDs before claiming coverage.</x:v>
      </x:c>
      <x:c r="H514" s="25" t="str">
        <x:v>https://github.com/kapiltrip/systemverilog-from-beginning/blob/318bd495dee245f946d7c72127cb698bcf6e6680/SV%20Assertions/Projects/01-fsm-verification-with-sva/testbench.sv</x:v>
      </x:c>
      <x:c r="I514" s="4" t="str">
        <x:v>318bd495dee245f946d7c72127cb698bcf6e6680</x:v>
      </x:c>
    </x:row>
    <x:row r="515" ht="54" customHeight="1">
      <x:c r="A515" s="15" t="str">
        <x:v>systemverilog-from-beginning</x:v>
      </x:c>
      <x:c r="B515" s="15" t="str">
        <x:v>SV Assertions/Projects/02-counter-assertions-with-bind/design.sv</x:v>
      </x:c>
      <x:c r="C515" s="15" t="str">
        <x:v>RTL</x:v>
      </x:c>
      <x:c r="D515" s="15" t="str">
        <x:v>counter</x:v>
      </x:c>
      <x:c r="E515" s="15" t="str">
        <x:v>clk, rst, up</x:v>
      </x:c>
      <x:c r="F515" s="15" t="str">
        <x:v>dout</x:v>
      </x:c>
      <x:c r="G515" s="15" t="str">
        <x:v>SV-019</x:v>
      </x:c>
      <x:c r="H515" s="26" t="str">
        <x:v>https://github.com/kapiltrip/systemverilog-from-beginning/blob/318bd495dee245f946d7c72127cb698bcf6e6680/SV%20Assertions/Projects/02-counter-assertions-with-bind/design.sv</x:v>
      </x:c>
      <x:c r="I515" s="15" t="str">
        <x:v>318bd495dee245f946d7c72127cb698bcf6e6680</x:v>
      </x:c>
    </x:row>
    <x:row r="516" ht="54" customHeight="1">
      <x:c r="A516" s="4" t="str">
        <x:v>systemverilog-from-beginning</x:v>
      </x:c>
      <x:c r="B516" s="4" t="str">
        <x:v>SV Assertions/Projects/02-counter-assertions-with-bind/testbench.sv</x:v>
      </x:c>
      <x:c r="C516" s="4" t="str">
        <x:v>Existing testbench</x:v>
      </x:c>
      <x:c r="D516" s="4" t="str">
        <x:v>tb, counter_assert</x:v>
      </x:c>
      <x:c r="E516" s="4" t="str">
        <x:v>clk, rst, up, dout</x:v>
      </x:c>
      <x:c r="F516" s="4" t="str"/>
      <x:c r="G516" s="4" t="str">
        <x:v>Supporting evidence only; map assertions to case IDs before claiming coverage.</x:v>
      </x:c>
      <x:c r="H516" s="25" t="str">
        <x:v>https://github.com/kapiltrip/systemverilog-from-beginning/blob/318bd495dee245f946d7c72127cb698bcf6e6680/SV%20Assertions/Projects/02-counter-assertions-with-bind/testbench.sv</x:v>
      </x:c>
      <x:c r="I516" s="4" t="str">
        <x:v>318bd495dee245f946d7c72127cb698bcf6e6680</x:v>
      </x:c>
    </x:row>
    <x:row r="517" ht="54" customHeight="1">
      <x:c r="A517" s="15" t="str">
        <x:v>systemverilog-from-beginning</x:v>
      </x:c>
      <x:c r="B517" s="15" t="str">
        <x:v>SV Basics/Codes/01-simulation-basics/testbench.sv</x:v>
      </x:c>
      <x:c r="C517" s="15" t="str">
        <x:v>Existing testbench</x:v>
      </x:c>
      <x:c r="D517" s="15" t="str">
        <x:v>tb</x:v>
      </x:c>
      <x:c r="E517" s="15" t="str"/>
      <x:c r="F517" s="15" t="str"/>
      <x:c r="G517" s="15" t="str">
        <x:v>Supporting evidence only; map assertions to case IDs before claiming coverage.</x:v>
      </x:c>
      <x:c r="H517" s="26" t="str">
        <x:v>https://github.com/kapiltrip/systemverilog-from-beginning/blob/318bd495dee245f946d7c72127cb698bcf6e6680/SV%20Basics/Codes/01-simulation-basics/testbench.sv</x:v>
      </x:c>
      <x:c r="I517" s="15" t="str">
        <x:v>318bd495dee245f946d7c72127cb698bcf6e6680</x:v>
      </x:c>
    </x:row>
    <x:row r="518" ht="54" customHeight="1">
      <x:c r="A518" s="4" t="str">
        <x:v>systemverilog-from-beginning</x:v>
      </x:c>
      <x:c r="B518" s="4" t="str">
        <x:v>SV Basics/Codes/02-clock-generation/testbench.sv</x:v>
      </x:c>
      <x:c r="C518" s="4" t="str">
        <x:v>Existing testbench</x:v>
      </x:c>
      <x:c r="D518" s="4" t="str">
        <x:v>tb</x:v>
      </x:c>
      <x:c r="E518" s="4" t="str"/>
      <x:c r="F518" s="4" t="str"/>
      <x:c r="G518" s="4" t="str">
        <x:v>Supporting evidence only; map assertions to case IDs before claiming coverage.</x:v>
      </x:c>
      <x:c r="H518" s="25" t="str">
        <x:v>https://github.com/kapiltrip/systemverilog-from-beginning/blob/318bd495dee245f946d7c72127cb698bcf6e6680/SV%20Basics/Codes/02-clock-generation/testbench.sv</x:v>
      </x:c>
      <x:c r="I518" s="4" t="str">
        <x:v>318bd495dee245f946d7c72127cb698bcf6e6680</x:v>
      </x:c>
    </x:row>
    <x:row r="519" ht="54" customHeight="1">
      <x:c r="A519" s="15" t="str">
        <x:v>systemverilog-from-beginning</x:v>
      </x:c>
      <x:c r="B519" s="15" t="str">
        <x:v>SV Basics/Codes/03-phase-shifted-clocks/testbench.sv</x:v>
      </x:c>
      <x:c r="C519" s="15" t="str">
        <x:v>Existing testbench</x:v>
      </x:c>
      <x:c r="D519" s="15" t="str">
        <x:v>tb</x:v>
      </x:c>
      <x:c r="E519" s="15" t="str"/>
      <x:c r="F519" s="15" t="str"/>
      <x:c r="G519" s="15" t="str">
        <x:v>Supporting evidence only; map assertions to case IDs before claiming coverage.</x:v>
      </x:c>
      <x:c r="H519" s="26" t="str">
        <x:v>https://github.com/kapiltrip/systemverilog-from-beginning/blob/318bd495dee245f946d7c72127cb698bcf6e6680/SV%20Basics/Codes/03-phase-shifted-clocks/testbench.sv</x:v>
      </x:c>
      <x:c r="I519" s="15" t="str">
        <x:v>318bd495dee245f946d7c72127cb698bcf6e6680</x:v>
      </x:c>
    </x:row>
    <x:row r="520" ht="54" customHeight="1">
      <x:c r="A520" s="4" t="str">
        <x:v>systemverilog-from-beginning</x:v>
      </x:c>
      <x:c r="B520" s="4" t="str">
        <x:v>SV Basics/Codes/04-data-types-and-time/testbench.sv</x:v>
      </x:c>
      <x:c r="C520" s="4" t="str">
        <x:v>Existing testbench</x:v>
      </x:c>
      <x:c r="D520" s="4" t="str">
        <x:v>tb</x:v>
      </x:c>
      <x:c r="E520" s="4" t="str"/>
      <x:c r="F520" s="4" t="str"/>
      <x:c r="G520" s="4" t="str">
        <x:v>Supporting evidence only; map assertions to case IDs before claiming coverage.</x:v>
      </x:c>
      <x:c r="H520" s="25" t="str">
        <x:v>https://github.com/kapiltrip/systemverilog-from-beginning/blob/318bd495dee245f946d7c72127cb698bcf6e6680/SV%20Basics/Codes/04-data-types-and-time/testbench.sv</x:v>
      </x:c>
      <x:c r="I520" s="4" t="str">
        <x:v>318bd495dee245f946d7c72127cb698bcf6e6680</x:v>
      </x:c>
    </x:row>
    <x:row r="521" ht="54" customHeight="1">
      <x:c r="A521" s="15" t="str">
        <x:v>systemverilog-from-beginning</x:v>
      </x:c>
      <x:c r="B521" s="15" t="str">
        <x:v>SV Basics/Codes/05-fixed-arrays-and-for-loop/testbench.sv</x:v>
      </x:c>
      <x:c r="C521" s="15" t="str">
        <x:v>Existing testbench</x:v>
      </x:c>
      <x:c r="D521" s="15" t="str">
        <x:v>tb</x:v>
      </x:c>
      <x:c r="E521" s="15" t="str"/>
      <x:c r="F521" s="15" t="str"/>
      <x:c r="G521" s="15" t="str">
        <x:v>Supporting evidence only; map assertions to case IDs before claiming coverage.</x:v>
      </x:c>
      <x:c r="H521" s="26" t="str">
        <x:v>https://github.com/kapiltrip/systemverilog-from-beginning/blob/318bd495dee245f946d7c72127cb698bcf6e6680/SV%20Basics/Codes/05-fixed-arrays-and-for-loop/testbench.sv</x:v>
      </x:c>
      <x:c r="I521" s="15" t="str">
        <x:v>318bd495dee245f946d7c72127cb698bcf6e6680</x:v>
      </x:c>
    </x:row>
    <x:row r="522" ht="54" customHeight="1">
      <x:c r="A522" s="4" t="str">
        <x:v>systemverilog-from-beginning</x:v>
      </x:c>
      <x:c r="B522" s="4" t="str">
        <x:v>SV Basics/Codes/06-array-iteration/testbench.sv</x:v>
      </x:c>
      <x:c r="C522" s="4" t="str">
        <x:v>Existing testbench</x:v>
      </x:c>
      <x:c r="D522" s="4" t="str">
        <x:v>tb</x:v>
      </x:c>
      <x:c r="E522" s="4" t="str"/>
      <x:c r="F522" s="4" t="str"/>
      <x:c r="G522" s="4" t="str">
        <x:v>Supporting evidence only; map assertions to case IDs before claiming coverage.</x:v>
      </x:c>
      <x:c r="H522" s="25" t="str">
        <x:v>https://github.com/kapiltrip/systemverilog-from-beginning/blob/318bd495dee245f946d7c72127cb698bcf6e6680/SV%20Basics/Codes/06-array-iteration/testbench.sv</x:v>
      </x:c>
      <x:c r="I522" s="4" t="str">
        <x:v>318bd495dee245f946d7c72127cb698bcf6e6680</x:v>
      </x:c>
    </x:row>
    <x:row r="523" ht="54" customHeight="1">
      <x:c r="A523" s="15" t="str">
        <x:v>systemverilog-from-beginning</x:v>
      </x:c>
      <x:c r="B523" s="15" t="str">
        <x:v>SV Basics/Codes/07-array-copying/testbench.sv</x:v>
      </x:c>
      <x:c r="C523" s="15" t="str">
        <x:v>Existing testbench</x:v>
      </x:c>
      <x:c r="D523" s="15" t="str">
        <x:v>tb</x:v>
      </x:c>
      <x:c r="E523" s="15" t="str"/>
      <x:c r="F523" s="15" t="str"/>
      <x:c r="G523" s="15" t="str">
        <x:v>Supporting evidence only; map assertions to case IDs before claiming coverage.</x:v>
      </x:c>
      <x:c r="H523" s="26" t="str">
        <x:v>https://github.com/kapiltrip/systemverilog-from-beginning/blob/318bd495dee245f946d7c72127cb698bcf6e6680/SV%20Basics/Codes/07-array-copying/testbench.sv</x:v>
      </x:c>
      <x:c r="I523" s="15" t="str">
        <x:v>318bd495dee245f946d7c72127cb698bcf6e6680</x:v>
      </x:c>
    </x:row>
    <x:row r="524" ht="54" customHeight="1">
      <x:c r="A524" s="4" t="str">
        <x:v>systemverilog-from-beginning</x:v>
      </x:c>
      <x:c r="B524" s="4" t="str">
        <x:v>SV Basics/Codes/08-queue-operations/testbench.sv</x:v>
      </x:c>
      <x:c r="C524" s="4" t="str">
        <x:v>Existing testbench</x:v>
      </x:c>
      <x:c r="D524" s="4" t="str">
        <x:v>tb</x:v>
      </x:c>
      <x:c r="E524" s="4" t="str"/>
      <x:c r="F524" s="4" t="str"/>
      <x:c r="G524" s="4" t="str">
        <x:v>Supporting evidence only; map assertions to case IDs before claiming coverage.</x:v>
      </x:c>
      <x:c r="H524" s="25" t="str">
        <x:v>https://github.com/kapiltrip/systemverilog-from-beginning/blob/318bd495dee245f946d7c72127cb698bcf6e6680/SV%20Basics/Codes/08-queue-operations/testbench.sv</x:v>
      </x:c>
      <x:c r="I524" s="4" t="str">
        <x:v>318bd495dee245f946d7c72127cb698bcf6e6680</x:v>
      </x:c>
    </x:row>
    <x:row r="525" ht="54" customHeight="1">
      <x:c r="A525" s="15" t="str">
        <x:v>systemverilog-from-beginning</x:v>
      </x:c>
      <x:c r="B525" s="15" t="str">
        <x:v>SV Basics/Codes/09-class-object-basics/testbench.sv</x:v>
      </x:c>
      <x:c r="C525" s="15" t="str">
        <x:v>Existing testbench</x:v>
      </x:c>
      <x:c r="D525" s="15" t="str">
        <x:v>tb</x:v>
      </x:c>
      <x:c r="E525" s="15" t="str"/>
      <x:c r="F525" s="15" t="str"/>
      <x:c r="G525" s="15" t="str">
        <x:v>Supporting evidence only; map assertions to case IDs before claiming coverage.</x:v>
      </x:c>
      <x:c r="H525" s="26" t="str">
        <x:v>https://github.com/kapiltrip/systemverilog-from-beginning/blob/318bd495dee245f946d7c72127cb698bcf6e6680/SV%20Basics/Codes/09-class-object-basics/testbench.sv</x:v>
      </x:c>
      <x:c r="I525" s="15" t="str">
        <x:v>318bd495dee245f946d7c72127cb698bcf6e6680</x:v>
      </x:c>
    </x:row>
    <x:row r="526" ht="54" customHeight="1">
      <x:c r="A526" s="4" t="str">
        <x:v>systemverilog-from-beginning</x:v>
      </x:c>
      <x:c r="B526" s="4" t="str">
        <x:v>SV Basics/Codes/10-tasks-and-functions/testbench.sv</x:v>
      </x:c>
      <x:c r="C526" s="4" t="str">
        <x:v>Existing testbench</x:v>
      </x:c>
      <x:c r="D526" s="4" t="str">
        <x:v>tb</x:v>
      </x:c>
      <x:c r="E526" s="4" t="str"/>
      <x:c r="F526" s="4" t="str"/>
      <x:c r="G526" s="4" t="str">
        <x:v>Supporting evidence only; map assertions to case IDs before claiming coverage.</x:v>
      </x:c>
      <x:c r="H526" s="25" t="str">
        <x:v>https://github.com/kapiltrip/systemverilog-from-beginning/blob/318bd495dee245f946d7c72127cb698bcf6e6680/SV%20Basics/Codes/10-tasks-and-functions/testbench.sv</x:v>
      </x:c>
      <x:c r="I526" s="4" t="str">
        <x:v>318bd495dee245f946d7c72127cb698bcf6e6680</x:v>
      </x:c>
    </x:row>
    <x:row r="527" ht="54" customHeight="1">
      <x:c r="A527" s="15" t="str">
        <x:v>systemverilog-from-beginning</x:v>
      </x:c>
      <x:c r="B527" s="15" t="str">
        <x:v>SV Basics/Codes/11-pass-by-reference/testbench.sv</x:v>
      </x:c>
      <x:c r="C527" s="15" t="str">
        <x:v>Existing testbench</x:v>
      </x:c>
      <x:c r="D527" s="15" t="str">
        <x:v>tb</x:v>
      </x:c>
      <x:c r="E527" s="15" t="str"/>
      <x:c r="F527" s="15" t="str"/>
      <x:c r="G527" s="15" t="str">
        <x:v>Supporting evidence only; map assertions to case IDs before claiming coverage.</x:v>
      </x:c>
      <x:c r="H527" s="26" t="str">
        <x:v>https://github.com/kapiltrip/systemverilog-from-beginning/blob/318bd495dee245f946d7c72127cb698bcf6e6680/SV%20Basics/Codes/11-pass-by-reference/testbench.sv</x:v>
      </x:c>
      <x:c r="I527" s="15" t="str">
        <x:v>318bd495dee245f946d7c72127cb698bcf6e6680</x:v>
      </x:c>
    </x:row>
    <x:row r="528" ht="54" customHeight="1">
      <x:c r="A528" s="4" t="str">
        <x:v>systemverilog-from-beginning</x:v>
      </x:c>
      <x:c r="B528" s="4" t="str">
        <x:v>SV Basics/Codes/12-array-reference-passing/testbench.sv</x:v>
      </x:c>
      <x:c r="C528" s="4" t="str">
        <x:v>Existing testbench</x:v>
      </x:c>
      <x:c r="D528" s="4" t="str">
        <x:v>tb</x:v>
      </x:c>
      <x:c r="E528" s="4" t="str"/>
      <x:c r="F528" s="4" t="str"/>
      <x:c r="G528" s="4" t="str">
        <x:v>Supporting evidence only; map assertions to case IDs before claiming coverage.</x:v>
      </x:c>
      <x:c r="H528" s="25" t="str">
        <x:v>https://github.com/kapiltrip/systemverilog-from-beginning/blob/318bd495dee245f946d7c72127cb698bcf6e6680/SV%20Basics/Codes/12-array-reference-passing/testbench.sv</x:v>
      </x:c>
      <x:c r="I528" s="4" t="str">
        <x:v>318bd495dee245f946d7c72127cb698bcf6e6680</x:v>
      </x:c>
    </x:row>
    <x:row r="529" ht="54" customHeight="1">
      <x:c r="A529" s="15" t="str">
        <x:v>systemverilog-from-beginning</x:v>
      </x:c>
      <x:c r="B529" s="15" t="str">
        <x:v>SV Basics/Codes/13-constructor-arguments/testbench.sv</x:v>
      </x:c>
      <x:c r="C529" s="15" t="str">
        <x:v>Existing testbench</x:v>
      </x:c>
      <x:c r="D529" s="15" t="str">
        <x:v>tb</x:v>
      </x:c>
      <x:c r="E529" s="15" t="str"/>
      <x:c r="F529" s="15" t="str"/>
      <x:c r="G529" s="15" t="str">
        <x:v>Supporting evidence only; map assertions to case IDs before claiming coverage.</x:v>
      </x:c>
      <x:c r="H529" s="26" t="str">
        <x:v>https://github.com/kapiltrip/systemverilog-from-beginning/blob/318bd495dee245f946d7c72127cb698bcf6e6680/SV%20Basics/Codes/13-constructor-arguments/testbench.sv</x:v>
      </x:c>
      <x:c r="I529" s="15" t="str">
        <x:v>318bd495dee245f946d7c72127cb698bcf6e6680</x:v>
      </x:c>
    </x:row>
    <x:row r="530" ht="54" customHeight="1">
      <x:c r="A530" s="4" t="str">
        <x:v>systemverilog-from-beginning</x:v>
      </x:c>
      <x:c r="B530" s="4" t="str">
        <x:v>SV Basics/Codes/14-class-composition-and-scope/testbench.sv</x:v>
      </x:c>
      <x:c r="C530" s="4" t="str">
        <x:v>Existing testbench</x:v>
      </x:c>
      <x:c r="D530" s="4" t="str">
        <x:v>tb</x:v>
      </x:c>
      <x:c r="E530" s="4" t="str"/>
      <x:c r="F530" s="4" t="str"/>
      <x:c r="G530" s="4" t="str">
        <x:v>Supporting evidence only; map assertions to case IDs before claiming coverage.</x:v>
      </x:c>
      <x:c r="H530" s="25" t="str">
        <x:v>https://github.com/kapiltrip/systemverilog-from-beginning/blob/318bd495dee245f946d7c72127cb698bcf6e6680/SV%20Basics/Codes/14-class-composition-and-scope/testbench.sv</x:v>
      </x:c>
      <x:c r="I530" s="4" t="str">
        <x:v>318bd495dee245f946d7c72127cb698bcf6e6680</x:v>
      </x:c>
    </x:row>
    <x:row r="531" ht="54" customHeight="1">
      <x:c r="A531" s="15" t="str">
        <x:v>systemverilog-from-beginning</x:v>
      </x:c>
      <x:c r="B531" s="15" t="str">
        <x:v>SV Basics/Codes/15-class-shallow-copy/testbench.sv</x:v>
      </x:c>
      <x:c r="C531" s="15" t="str">
        <x:v>Existing testbench</x:v>
      </x:c>
      <x:c r="D531" s="15" t="str">
        <x:v>tb</x:v>
      </x:c>
      <x:c r="E531" s="15" t="str"/>
      <x:c r="F531" s="15" t="str"/>
      <x:c r="G531" s="15" t="str">
        <x:v>Supporting evidence only; map assertions to case IDs before claiming coverage.</x:v>
      </x:c>
      <x:c r="H531" s="26" t="str">
        <x:v>https://github.com/kapiltrip/systemverilog-from-beginning/blob/318bd495dee245f946d7c72127cb698bcf6e6680/SV%20Basics/Codes/15-class-shallow-copy/testbench.sv</x:v>
      </x:c>
      <x:c r="I531" s="15" t="str">
        <x:v>318bd495dee245f946d7c72127cb698bcf6e6680</x:v>
      </x:c>
    </x:row>
    <x:row r="532" ht="54" customHeight="1">
      <x:c r="A532" s="4" t="str">
        <x:v>systemverilog-from-beginning</x:v>
      </x:c>
      <x:c r="B532" s="4" t="str">
        <x:v>SV Basics/Codes/16-class-custom-copy-method/editor_testbench.sv</x:v>
      </x:c>
      <x:c r="C532" s="4" t="str">
        <x:v>Existing testbench</x:v>
      </x:c>
      <x:c r="D532" s="4" t="str">
        <x:v>tb</x:v>
      </x:c>
      <x:c r="E532" s="4" t="str"/>
      <x:c r="F532" s="4" t="str"/>
      <x:c r="G532" s="4" t="str">
        <x:v>Supporting evidence only; map assertions to case IDs before claiming coverage.</x:v>
      </x:c>
      <x:c r="H532" s="25" t="str">
        <x:v>https://github.com/kapiltrip/systemverilog-from-beginning/blob/318bd495dee245f946d7c72127cb698bcf6e6680/SV%20Basics/Codes/16-class-custom-copy-method/editor_testbench.sv</x:v>
      </x:c>
      <x:c r="I532" s="4" t="str">
        <x:v>318bd495dee245f946d7c72127cb698bcf6e6680</x:v>
      </x:c>
    </x:row>
    <x:row r="533" ht="54" customHeight="1">
      <x:c r="A533" s="15" t="str">
        <x:v>systemverilog-from-beginning</x:v>
      </x:c>
      <x:c r="B533" s="15" t="str">
        <x:v>SV Basics/Codes/16-class-custom-copy-method/testbench.sv</x:v>
      </x:c>
      <x:c r="C533" s="15" t="str">
        <x:v>Existing testbench</x:v>
      </x:c>
      <x:c r="D533" s="15" t="str">
        <x:v>tb</x:v>
      </x:c>
      <x:c r="E533" s="15" t="str"/>
      <x:c r="F533" s="15" t="str"/>
      <x:c r="G533" s="15" t="str">
        <x:v>Supporting evidence only; map assertions to case IDs before claiming coverage.</x:v>
      </x:c>
      <x:c r="H533" s="26" t="str">
        <x:v>https://github.com/kapiltrip/systemverilog-from-beginning/blob/318bd495dee245f946d7c72127cb698bcf6e6680/SV%20Basics/Codes/16-class-custom-copy-method/testbench.sv</x:v>
      </x:c>
      <x:c r="I533" s="15" t="str">
        <x:v>318bd495dee245f946d7c72127cb698bcf6e6680</x:v>
      </x:c>
    </x:row>
    <x:row r="534" ht="54" customHeight="1">
      <x:c r="A534" s="4" t="str">
        <x:v>systemverilog-from-beginning</x:v>
      </x:c>
      <x:c r="B534" s="4" t="str">
        <x:v>SV Basics/Codes/17-class-deep-copy-with-nested-objects/testbench.sv</x:v>
      </x:c>
      <x:c r="C534" s="4" t="str">
        <x:v>Existing testbench</x:v>
      </x:c>
      <x:c r="D534" s="4" t="str">
        <x:v>tb</x:v>
      </x:c>
      <x:c r="E534" s="4" t="str"/>
      <x:c r="F534" s="4" t="str"/>
      <x:c r="G534" s="4" t="str">
        <x:v>Supporting evidence only; map assertions to case IDs before claiming coverage.</x:v>
      </x:c>
      <x:c r="H534" s="25" t="str">
        <x:v>https://github.com/kapiltrip/systemverilog-from-beginning/blob/318bd495dee245f946d7c72127cb698bcf6e6680/SV%20Basics/Codes/17-class-deep-copy-with-nested-objects/testbench.sv</x:v>
      </x:c>
      <x:c r="I534" s="4" t="str">
        <x:v>318bd495dee245f946d7c72127cb698bcf6e6680</x:v>
      </x:c>
    </x:row>
    <x:row r="535" ht="54" customHeight="1">
      <x:c r="A535" s="15" t="str">
        <x:v>systemverilog-from-beginning</x:v>
      </x:c>
      <x:c r="B535" s="15" t="str">
        <x:v>SV Basics/Codes/18-class-shallow-copy-with-nested-handle/testbench.sv</x:v>
      </x:c>
      <x:c r="C535" s="15" t="str">
        <x:v>Existing testbench</x:v>
      </x:c>
      <x:c r="D535" s="15" t="str">
        <x:v>tb</x:v>
      </x:c>
      <x:c r="E535" s="15" t="str"/>
      <x:c r="F535" s="15" t="str"/>
      <x:c r="G535" s="15" t="str">
        <x:v>Supporting evidence only; map assertions to case IDs before claiming coverage.</x:v>
      </x:c>
      <x:c r="H535" s="26" t="str">
        <x:v>https://github.com/kapiltrip/systemverilog-from-beginning/blob/318bd495dee245f946d7c72127cb698bcf6e6680/SV%20Basics/Codes/18-class-shallow-copy-with-nested-handle/testbench.sv</x:v>
      </x:c>
      <x:c r="I535" s="15" t="str">
        <x:v>318bd495dee245f946d7c72127cb698bcf6e6680</x:v>
      </x:c>
    </x:row>
    <x:row r="536" ht="54" customHeight="1">
      <x:c r="A536" s="4" t="str">
        <x:v>systemverilog-from-beginning</x:v>
      </x:c>
      <x:c r="B536" s="4" t="str">
        <x:v>SV Basics/Codes/19-class-inheritance-basics/testbench.sv</x:v>
      </x:c>
      <x:c r="C536" s="4" t="str">
        <x:v>Existing testbench</x:v>
      </x:c>
      <x:c r="D536" s="4" t="str">
        <x:v>tb</x:v>
      </x:c>
      <x:c r="E536" s="4" t="str"/>
      <x:c r="F536" s="4" t="str"/>
      <x:c r="G536" s="4" t="str">
        <x:v>Supporting evidence only; map assertions to case IDs before claiming coverage.</x:v>
      </x:c>
      <x:c r="H536" s="25" t="str">
        <x:v>https://github.com/kapiltrip/systemverilog-from-beginning/blob/318bd495dee245f946d7c72127cb698bcf6e6680/SV%20Basics/Codes/19-class-inheritance-basics/testbench.sv</x:v>
      </x:c>
      <x:c r="I536" s="4" t="str">
        <x:v>318bd495dee245f946d7c72127cb698bcf6e6680</x:v>
      </x:c>
    </x:row>
    <x:row r="537" ht="54" customHeight="1">
      <x:c r="A537" s="15" t="str">
        <x:v>systemverilog-from-beginning</x:v>
      </x:c>
      <x:c r="B537" s="15" t="str">
        <x:v>SV Basics/Codes/20-polymorphism-with-virtual-methods/testbench.sv</x:v>
      </x:c>
      <x:c r="C537" s="15" t="str">
        <x:v>Existing testbench</x:v>
      </x:c>
      <x:c r="D537" s="15" t="str">
        <x:v>tb</x:v>
      </x:c>
      <x:c r="E537" s="15" t="str"/>
      <x:c r="F537" s="15" t="str"/>
      <x:c r="G537" s="15" t="str">
        <x:v>Supporting evidence only; map assertions to case IDs before claiming coverage.</x:v>
      </x:c>
      <x:c r="H537" s="26" t="str">
        <x:v>https://github.com/kapiltrip/systemverilog-from-beginning/blob/318bd495dee245f946d7c72127cb698bcf6e6680/SV%20Basics/Codes/20-polymorphism-with-virtual-methods/testbench.sv</x:v>
      </x:c>
      <x:c r="I537" s="15" t="str">
        <x:v>318bd495dee245f946d7c72127cb698bcf6e6680</x:v>
      </x:c>
    </x:row>
    <x:row r="538" ht="54" customHeight="1">
      <x:c r="A538" s="4" t="str">
        <x:v>systemverilog-from-beginning</x:v>
      </x:c>
      <x:c r="B538" s="4" t="str">
        <x:v>SV Basics/Codes/21-constructor-arguments-and-super-keyword/testbench.sv</x:v>
      </x:c>
      <x:c r="C538" s="4" t="str">
        <x:v>Existing testbench</x:v>
      </x:c>
      <x:c r="D538" s="4" t="str">
        <x:v>tb</x:v>
      </x:c>
      <x:c r="E538" s="4" t="str"/>
      <x:c r="F538" s="4" t="str"/>
      <x:c r="G538" s="4" t="str">
        <x:v>Supporting evidence only; map assertions to case IDs before claiming coverage.</x:v>
      </x:c>
      <x:c r="H538" s="25" t="str">
        <x:v>https://github.com/kapiltrip/systemverilog-from-beginning/blob/318bd495dee245f946d7c72127cb698bcf6e6680/SV%20Basics/Codes/21-constructor-arguments-and-super-keyword/testbench.sv</x:v>
      </x:c>
      <x:c r="I538" s="4" t="str">
        <x:v>318bd495dee245f946d7c72127cb698bcf6e6680</x:v>
      </x:c>
    </x:row>
    <x:row r="539" ht="54" customHeight="1">
      <x:c r="A539" s="15" t="str">
        <x:v>systemverilog-from-beginning</x:v>
      </x:c>
      <x:c r="B539" s="15" t="str">
        <x:v>SV Basics/Codes/22-constrained-randomization-with-randc/design.sv</x:v>
      </x:c>
      <x:c r="C539" s="15" t="str">
        <x:v>Verification example</x:v>
      </x:c>
      <x:c r="D539" s="15" t="str">
        <x:v>(incomplete/no module)</x:v>
      </x:c>
      <x:c r="E539" s="15" t="str"/>
      <x:c r="F539" s="15" t="str"/>
      <x:c r="G539" s="15" t="str">
        <x:v>Supporting evidence only; map assertions to case IDs before claiming coverage.</x:v>
      </x:c>
      <x:c r="H539" s="26" t="str">
        <x:v>https://github.com/kapiltrip/systemverilog-from-beginning/blob/318bd495dee245f946d7c72127cb698bcf6e6680/SV%20Basics/Codes/22-constrained-randomization-with-randc/design.sv</x:v>
      </x:c>
      <x:c r="I539" s="15" t="str">
        <x:v>318bd495dee245f946d7c72127cb698bcf6e6680</x:v>
      </x:c>
    </x:row>
    <x:row r="540" ht="54" customHeight="1">
      <x:c r="A540" s="4" t="str">
        <x:v>systemverilog-from-beginning</x:v>
      </x:c>
      <x:c r="B540" s="4" t="str">
        <x:v>SV Basics/Codes/22-constrained-randomization-with-randc/testbench.sv</x:v>
      </x:c>
      <x:c r="C540" s="4" t="str">
        <x:v>Existing testbench</x:v>
      </x:c>
      <x:c r="D540" s="4" t="str">
        <x:v>tb</x:v>
      </x:c>
      <x:c r="E540" s="4" t="str"/>
      <x:c r="F540" s="4" t="str"/>
      <x:c r="G540" s="4" t="str">
        <x:v>Supporting evidence only; map assertions to case IDs before claiming coverage.</x:v>
      </x:c>
      <x:c r="H540" s="25" t="str">
        <x:v>https://github.com/kapiltrip/systemverilog-from-beginning/blob/318bd495dee245f946d7c72127cb698bcf6e6680/SV%20Basics/Codes/22-constrained-randomization-with-randc/testbench.sv</x:v>
      </x:c>
      <x:c r="I540" s="4" t="str">
        <x:v>318bd495dee245f946d7c72127cb698bcf6e6680</x:v>
      </x:c>
    </x:row>
    <x:row r="541" ht="54" customHeight="1">
      <x:c r="A541" s="15" t="str">
        <x:v>systemverilog-from-beginning</x:v>
      </x:c>
      <x:c r="B541" s="15" t="str">
        <x:v>SV Basics/Codes/23-constrained-randomization-with-a-single-constraint/testbench.sv</x:v>
      </x:c>
      <x:c r="C541" s="15" t="str">
        <x:v>Existing testbench</x:v>
      </x:c>
      <x:c r="D541" s="15" t="str">
        <x:v>tb</x:v>
      </x:c>
      <x:c r="E541" s="15" t="str"/>
      <x:c r="F541" s="15" t="str"/>
      <x:c r="G541" s="15" t="str">
        <x:v>Supporting evidence only; map assertions to case IDs before claiming coverage.</x:v>
      </x:c>
      <x:c r="H541" s="26" t="str">
        <x:v>https://github.com/kapiltrip/systemverilog-from-beginning/blob/318bd495dee245f946d7c72127cb698bcf6e6680/SV%20Basics/Codes/23-constrained-randomization-with-a-single-constraint/testbench.sv</x:v>
      </x:c>
      <x:c r="I541" s="15" t="str">
        <x:v>318bd495dee245f946d7c72127cb698bcf6e6680</x:v>
      </x:c>
    </x:row>
    <x:row r="542" ht="54" customHeight="1">
      <x:c r="A542" s="4" t="str">
        <x:v>systemverilog-from-beginning</x:v>
      </x:c>
      <x:c r="B542" s="4" t="str">
        <x:v>SV Basics/Codes/24-constrained-randc-inside-and-excluded-ranges/testbench.sv</x:v>
      </x:c>
      <x:c r="C542" s="4" t="str">
        <x:v>Existing testbench</x:v>
      </x:c>
      <x:c r="D542" s="4" t="str">
        <x:v>tb</x:v>
      </x:c>
      <x:c r="E542" s="4" t="str"/>
      <x:c r="F542" s="4" t="str"/>
      <x:c r="G542" s="4" t="str">
        <x:v>Supporting evidence only; map assertions to case IDs before claiming coverage.</x:v>
      </x:c>
      <x:c r="H542" s="25" t="str">
        <x:v>https://github.com/kapiltrip/systemverilog-from-beginning/blob/318bd495dee245f946d7c72127cb698bcf6e6680/SV%20Basics/Codes/24-constrained-randc-inside-and-excluded-ranges/testbench.sv</x:v>
      </x:c>
      <x:c r="I542" s="4" t="str">
        <x:v>318bd495dee245f946d7c72127cb698bcf6e6680</x:v>
      </x:c>
    </x:row>
    <x:row r="543" ht="54" customHeight="1">
      <x:c r="A543" s="15" t="str">
        <x:v>systemverilog-from-beginning</x:v>
      </x:c>
      <x:c r="B543" s="15" t="str">
        <x:v>SV Basics/Codes/25-constraint-outside-a-class/testbench.sv</x:v>
      </x:c>
      <x:c r="C543" s="15" t="str">
        <x:v>Existing testbench</x:v>
      </x:c>
      <x:c r="D543" s="15" t="str">
        <x:v>tb</x:v>
      </x:c>
      <x:c r="E543" s="15" t="str"/>
      <x:c r="F543" s="15" t="str"/>
      <x:c r="G543" s="15" t="str">
        <x:v>Supporting evidence only; map assertions to case IDs before claiming coverage.</x:v>
      </x:c>
      <x:c r="H543" s="26" t="str">
        <x:v>https://github.com/kapiltrip/systemverilog-from-beginning/blob/318bd495dee245f946d7c72127cb698bcf6e6680/SV%20Basics/Codes/25-constraint-outside-a-class/testbench.sv</x:v>
      </x:c>
      <x:c r="I543" s="15" t="str">
        <x:v>318bd495dee245f946d7c72127cb698bcf6e6680</x:v>
      </x:c>
    </x:row>
    <x:row r="544" ht="54" customHeight="1">
      <x:c r="A544" s="4" t="str">
        <x:v>systemverilog-from-beginning</x:v>
      </x:c>
      <x:c r="B544" s="4" t="str">
        <x:v>SV Basics/Codes/26-dynamic-range-constraints-with-post-randomize/testbench.sv</x:v>
      </x:c>
      <x:c r="C544" s="4" t="str">
        <x:v>Existing testbench</x:v>
      </x:c>
      <x:c r="D544" s="4" t="str">
        <x:v>tb</x:v>
      </x:c>
      <x:c r="E544" s="4" t="str"/>
      <x:c r="F544" s="4" t="str"/>
      <x:c r="G544" s="4" t="str">
        <x:v>Supporting evidence only; map assertions to case IDs before claiming coverage.</x:v>
      </x:c>
      <x:c r="H544" s="25" t="str">
        <x:v>https://github.com/kapiltrip/systemverilog-from-beginning/blob/318bd495dee245f946d7c72127cb698bcf6e6680/SV%20Basics/Codes/26-dynamic-range-constraints-with-post-randomize/testbench.sv</x:v>
      </x:c>
      <x:c r="I544" s="4" t="str">
        <x:v>318bd495dee245f946d7c72127cb698bcf6e6680</x:v>
      </x:c>
    </x:row>
    <x:row r="545" ht="54" customHeight="1">
      <x:c r="A545" s="15" t="str">
        <x:v>systemverilog-from-beginning</x:v>
      </x:c>
      <x:c r="B545" s="15" t="str">
        <x:v>SV Basics/Codes/27-runtime-constraint-range-changes-with-randc/testbench.sv</x:v>
      </x:c>
      <x:c r="C545" s="15" t="str">
        <x:v>Existing testbench</x:v>
      </x:c>
      <x:c r="D545" s="15" t="str">
        <x:v>tb</x:v>
      </x:c>
      <x:c r="E545" s="15" t="str"/>
      <x:c r="F545" s="15" t="str"/>
      <x:c r="G545" s="15" t="str">
        <x:v>Supporting evidence only; map assertions to case IDs before claiming coverage.</x:v>
      </x:c>
      <x:c r="H545" s="26" t="str">
        <x:v>https://github.com/kapiltrip/systemverilog-from-beginning/blob/318bd495dee245f946d7c72127cb698bcf6e6680/SV%20Basics/Codes/27-runtime-constraint-range-changes-with-randc/testbench.sv</x:v>
      </x:c>
      <x:c r="I545" s="15" t="str">
        <x:v>318bd495dee245f946d7c72127cb698bcf6e6680</x:v>
      </x:c>
    </x:row>
    <x:row r="546" ht="54" customHeight="1">
      <x:c r="A546" s="4" t="str">
        <x:v>systemverilog-from-beginning</x:v>
      </x:c>
      <x:c r="B546" s="4" t="str">
        <x:v>SV Basics/Codes/28-constraint-operators-distribution-and-modes/testbench.sv</x:v>
      </x:c>
      <x:c r="C546" s="4" t="str">
        <x:v>Existing testbench</x:v>
      </x:c>
      <x:c r="D546" s="4" t="str">
        <x:v>tb</x:v>
      </x:c>
      <x:c r="E546" s="4" t="str"/>
      <x:c r="F546" s="4" t="str"/>
      <x:c r="G546" s="4" t="str">
        <x:v>Supporting evidence only; map assertions to case IDs before claiming coverage.</x:v>
      </x:c>
      <x:c r="H546" s="25" t="str">
        <x:v>https://github.com/kapiltrip/systemverilog-from-beginning/blob/318bd495dee245f946d7c72127cb698bcf6e6680/SV%20Basics/Codes/28-constraint-operators-distribution-and-modes/testbench.sv</x:v>
      </x:c>
      <x:c r="I546" s="4" t="str">
        <x:v>318bd495dee245f946d7c72127cb698bcf6e6680</x:v>
      </x:c>
    </x:row>
    <x:row r="547" ht="54" customHeight="1">
      <x:c r="A547" s="15" t="str">
        <x:v>systemverilog-from-beginning</x:v>
      </x:c>
      <x:c r="B547" s="15" t="str">
        <x:v>SV Basics/Codes/29-distribution-constraints-with-colon-equal-and-colon-slash/testbench.sv</x:v>
      </x:c>
      <x:c r="C547" s="15" t="str">
        <x:v>Existing testbench</x:v>
      </x:c>
      <x:c r="D547" s="15" t="str">
        <x:v>tb</x:v>
      </x:c>
      <x:c r="E547" s="15" t="str"/>
      <x:c r="F547" s="15" t="str"/>
      <x:c r="G547" s="15" t="str">
        <x:v>Supporting evidence only; map assertions to case IDs before claiming coverage.</x:v>
      </x:c>
      <x:c r="H547" s="26" t="str">
        <x:v>https://github.com/kapiltrip/systemverilog-from-beginning/blob/318bd495dee245f946d7c72127cb698bcf6e6680/SV%20Basics/Codes/29-distribution-constraints-with-colon-equal-and-colon-slash/testbench.sv</x:v>
      </x:c>
      <x:c r="I547" s="15" t="str">
        <x:v>318bd495dee245f946d7c72127cb698bcf6e6680</x:v>
      </x:c>
    </x:row>
    <x:row r="548" ht="54" customHeight="1">
      <x:c r="A548" s="4" t="str">
        <x:v>systemverilog-from-beginning</x:v>
      </x:c>
      <x:c r="B548" s="4" t="str">
        <x:v>SV Basics/Codes/30-fifo-transaction-and-weighted-constraints/design.sv</x:v>
      </x:c>
      <x:c r="C548" s="4" t="str">
        <x:v>RTL</x:v>
      </x:c>
      <x:c r="D548" s="4" t="str">
        <x:v>sync_fifo</x:v>
      </x:c>
      <x:c r="E548" s="4" t="str">
        <x:v>clk, rst, wr_en, rd_en, wr_data</x:v>
      </x:c>
      <x:c r="F548" s="4" t="str">
        <x:v>rd_data, full, empty</x:v>
      </x:c>
      <x:c r="G548" s="4" t="str">
        <x:v>SV-020</x:v>
      </x:c>
      <x:c r="H548" s="25" t="str">
        <x:v>https://github.com/kapiltrip/systemverilog-from-beginning/blob/318bd495dee245f946d7c72127cb698bcf6e6680/SV%20Basics/Codes/30-fifo-transaction-and-weighted-constraints/design.sv</x:v>
      </x:c>
      <x:c r="I548" s="4" t="str">
        <x:v>318bd495dee245f946d7c72127cb698bcf6e6680</x:v>
      </x:c>
    </x:row>
    <x:row r="549" ht="54" customHeight="1">
      <x:c r="A549" s="15" t="str">
        <x:v>systemverilog-from-beginning</x:v>
      </x:c>
      <x:c r="B549" s="15" t="str">
        <x:v>SV Basics/Codes/30-fifo-transaction-and-weighted-constraints/testbench.sv</x:v>
      </x:c>
      <x:c r="C549" s="15" t="str">
        <x:v>Existing testbench</x:v>
      </x:c>
      <x:c r="D549" s="15" t="str">
        <x:v>(incomplete/no module)</x:v>
      </x:c>
      <x:c r="E549" s="15" t="str"/>
      <x:c r="F549" s="15" t="str"/>
      <x:c r="G549" s="15" t="str">
        <x:v>Supporting evidence only; map assertions to case IDs before claiming coverage.</x:v>
      </x:c>
      <x:c r="H549" s="26" t="str">
        <x:v>https://github.com/kapiltrip/systemverilog-from-beginning/blob/318bd495dee245f946d7c72127cb698bcf6e6680/SV%20Basics/Codes/30-fifo-transaction-and-weighted-constraints/testbench.sv</x:v>
      </x:c>
      <x:c r="I549" s="15" t="str">
        <x:v>318bd495dee245f946d7c72127cb698bcf6e6680</x:v>
      </x:c>
    </x:row>
    <x:row r="550" ht="54" customHeight="1">
      <x:c r="A550" s="4" t="str">
        <x:v>systemverilog-from-beginning</x:v>
      </x:c>
      <x:c r="B550" s="4" t="str">
        <x:v>SV Basics/Codes/31-event-trigger-and-wait-semantics/testbench.sv</x:v>
      </x:c>
      <x:c r="C550" s="4" t="str">
        <x:v>Existing testbench</x:v>
      </x:c>
      <x:c r="D550" s="4" t="str">
        <x:v>tb</x:v>
      </x:c>
      <x:c r="E550" s="4" t="str"/>
      <x:c r="F550" s="4" t="str"/>
      <x:c r="G550" s="4" t="str">
        <x:v>Supporting evidence only; map assertions to case IDs before claiming coverage.</x:v>
      </x:c>
      <x:c r="H550" s="25" t="str">
        <x:v>https://github.com/kapiltrip/systemverilog-from-beginning/blob/318bd495dee245f946d7c72127cb698bcf6e6680/SV%20Basics/Codes/31-event-trigger-and-wait-semantics/testbench.sv</x:v>
      </x:c>
      <x:c r="I550" s="4" t="str">
        <x:v>318bd495dee245f946d7c72127cb698bcf6e6680</x:v>
      </x:c>
    </x:row>
    <x:row r="551" ht="54" customHeight="1">
      <x:c r="A551" s="15" t="str">
        <x:v>systemverilog-from-beginning</x:v>
      </x:c>
      <x:c r="B551" s="15" t="str">
        <x:v>SV Basics/Codes/32-event-races-and-triggered-state/testbench.sv</x:v>
      </x:c>
      <x:c r="C551" s="15" t="str">
        <x:v>Existing testbench</x:v>
      </x:c>
      <x:c r="D551" s="15" t="str">
        <x:v>tb</x:v>
      </x:c>
      <x:c r="E551" s="15" t="str"/>
      <x:c r="F551" s="15" t="str"/>
      <x:c r="G551" s="15" t="str">
        <x:v>Supporting evidence only; map assertions to case IDs before claiming coverage.</x:v>
      </x:c>
      <x:c r="H551" s="26" t="str">
        <x:v>https://github.com/kapiltrip/systemverilog-from-beginning/blob/318bd495dee245f946d7c72127cb698bcf6e6680/SV%20Basics/Codes/32-event-races-and-triggered-state/testbench.sv</x:v>
      </x:c>
      <x:c r="I551" s="15" t="str">
        <x:v>318bd495dee245f946d7c72127cb698bcf6e6680</x:v>
      </x:c>
    </x:row>
    <x:row r="552" ht="54" customHeight="1">
      <x:c r="A552" s="4" t="str">
        <x:v>systemverilog-from-beginning</x:v>
      </x:c>
      <x:c r="B552" s="4" t="str">
        <x:v>SV Basics/Codes/33-generator-driver-completion-event/testbench.sv</x:v>
      </x:c>
      <x:c r="C552" s="4" t="str">
        <x:v>Existing testbench</x:v>
      </x:c>
      <x:c r="D552" s="4" t="str">
        <x:v>tb</x:v>
      </x:c>
      <x:c r="E552" s="4" t="str"/>
      <x:c r="F552" s="4" t="str"/>
      <x:c r="G552" s="4" t="str">
        <x:v>Supporting evidence only; map assertions to case IDs before claiming coverage.</x:v>
      </x:c>
      <x:c r="H552" s="25" t="str">
        <x:v>https://github.com/kapiltrip/systemverilog-from-beginning/blob/318bd495dee245f946d7c72127cb698bcf6e6680/SV%20Basics/Codes/33-generator-driver-completion-event/testbench.sv</x:v>
      </x:c>
      <x:c r="I552" s="4" t="str">
        <x:v>318bd495dee245f946d7c72127cb698bcf6e6680</x:v>
      </x:c>
    </x:row>
    <x:row r="553" ht="54" customHeight="1">
      <x:c r="A553" s="15" t="str">
        <x:v>systemverilog-from-beginning</x:v>
      </x:c>
      <x:c r="B553" s="15" t="str">
        <x:v>SV Basics/Codes/34-two-way-event-handshake/testbench.sv</x:v>
      </x:c>
      <x:c r="C553" s="15" t="str">
        <x:v>Existing testbench</x:v>
      </x:c>
      <x:c r="D553" s="15" t="str">
        <x:v>tb</x:v>
      </x:c>
      <x:c r="E553" s="15" t="str"/>
      <x:c r="F553" s="15" t="str"/>
      <x:c r="G553" s="15" t="str">
        <x:v>Supporting evidence only; map assertions to case IDs before claiming coverage.</x:v>
      </x:c>
      <x:c r="H553" s="26" t="str">
        <x:v>https://github.com/kapiltrip/systemverilog-from-beginning/blob/318bd495dee245f946d7c72127cb698bcf6e6680/SV%20Basics/Codes/34-two-way-event-handshake/testbench.sv</x:v>
      </x:c>
      <x:c r="I553" s="15" t="str">
        <x:v>318bd495dee245f946d7c72127cb698bcf6e6680</x:v>
      </x:c>
    </x:row>
    <x:row r="554" ht="54" customHeight="1">
      <x:c r="A554" s="4" t="str">
        <x:v>systemverilog-from-beginning</x:v>
      </x:c>
      <x:c r="B554" s="4" t="str">
        <x:v>SV Basics/Codes/35-fork-join-variants/testbench.sv</x:v>
      </x:c>
      <x:c r="C554" s="4" t="str">
        <x:v>Existing testbench</x:v>
      </x:c>
      <x:c r="D554" s="4" t="str">
        <x:v>tb</x:v>
      </x:c>
      <x:c r="E554" s="4" t="str"/>
      <x:c r="F554" s="4" t="str"/>
      <x:c r="G554" s="4" t="str">
        <x:v>Supporting evidence only; map assertions to case IDs before claiming coverage.</x:v>
      </x:c>
      <x:c r="H554" s="25" t="str">
        <x:v>https://github.com/kapiltrip/systemverilog-from-beginning/blob/318bd495dee245f946d7c72127cb698bcf6e6680/SV%20Basics/Codes/35-fork-join-variants/testbench.sv</x:v>
      </x:c>
      <x:c r="I554" s="4" t="str">
        <x:v>318bd495dee245f946d7c72127cb698bcf6e6680</x:v>
      </x:c>
    </x:row>
    <x:row r="555" ht="54" customHeight="1">
      <x:c r="A555" s="15" t="str">
        <x:v>systemverilog-from-beginning</x:v>
      </x:c>
      <x:c r="B555" s="15" t="str">
        <x:v>SV Basics/Codes/36-semaphore-controlled-resource-access/testbench.sv</x:v>
      </x:c>
      <x:c r="C555" s="15" t="str">
        <x:v>Existing testbench</x:v>
      </x:c>
      <x:c r="D555" s="15" t="str">
        <x:v>tb</x:v>
      </x:c>
      <x:c r="E555" s="15" t="str"/>
      <x:c r="F555" s="15" t="str"/>
      <x:c r="G555" s="15" t="str">
        <x:v>Supporting evidence only; map assertions to case IDs before claiming coverage.</x:v>
      </x:c>
      <x:c r="H555" s="26" t="str">
        <x:v>https://github.com/kapiltrip/systemverilog-from-beginning/blob/318bd495dee245f946d7c72127cb698bcf6e6680/SV%20Basics/Codes/36-semaphore-controlled-resource-access/testbench.sv</x:v>
      </x:c>
      <x:c r="I555" s="15" t="str">
        <x:v>318bd495dee245f946d7c72127cb698bcf6e6680</x:v>
      </x:c>
    </x:row>
    <x:row r="556" ht="54" customHeight="1">
      <x:c r="A556" s="4" t="str">
        <x:v>systemverilog-from-beginning</x:v>
      </x:c>
      <x:c r="B556" s="4" t="str">
        <x:v>SV Basics/Codes/37-generator-driver-mailbox/testbench.sv</x:v>
      </x:c>
      <x:c r="C556" s="4" t="str">
        <x:v>Existing testbench</x:v>
      </x:c>
      <x:c r="D556" s="4" t="str">
        <x:v>tb</x:v>
      </x:c>
      <x:c r="E556" s="4" t="str"/>
      <x:c r="F556" s="4" t="str"/>
      <x:c r="G556" s="4" t="str">
        <x:v>Supporting evidence only; map assertions to case IDs before claiming coverage.</x:v>
      </x:c>
      <x:c r="H556" s="25" t="str">
        <x:v>https://github.com/kapiltrip/systemverilog-from-beginning/blob/318bd495dee245f946d7c72127cb698bcf6e6680/SV%20Basics/Codes/37-generator-driver-mailbox/testbench.sv</x:v>
      </x:c>
      <x:c r="I556" s="4" t="str">
        <x:v>318bd495dee245f946d7c72127cb698bcf6e6680</x:v>
      </x:c>
    </x:row>
    <x:row r="557" ht="54" customHeight="1">
      <x:c r="A557" s="15" t="str">
        <x:v>systemverilog-from-beginning</x:v>
      </x:c>
      <x:c r="B557" s="15" t="str">
        <x:v>SV Basics/Codes/38-constructor-injected-mailbox/testbench.sv</x:v>
      </x:c>
      <x:c r="C557" s="15" t="str">
        <x:v>Existing testbench</x:v>
      </x:c>
      <x:c r="D557" s="15" t="str">
        <x:v>tb</x:v>
      </x:c>
      <x:c r="E557" s="15" t="str"/>
      <x:c r="F557" s="15" t="str"/>
      <x:c r="G557" s="15" t="str">
        <x:v>Supporting evidence only; map assertions to case IDs before claiming coverage.</x:v>
      </x:c>
      <x:c r="H557" s="26" t="str">
        <x:v>https://github.com/kapiltrip/systemverilog-from-beginning/blob/318bd495dee245f946d7c72127cb698bcf6e6680/SV%20Basics/Codes/38-constructor-injected-mailbox/testbench.sv</x:v>
      </x:c>
      <x:c r="I557" s="15" t="str">
        <x:v>318bd495dee245f946d7c72127cb698bcf6e6680</x:v>
      </x:c>
    </x:row>
    <x:row r="558" ht="54" customHeight="1">
      <x:c r="A558" s="4" t="str">
        <x:v>systemverilog-from-beginning</x:v>
      </x:c>
      <x:c r="B558" s="4" t="str">
        <x:v>SV Basics/Codes/39-parameterized-transaction-mailbox/testbench.sv</x:v>
      </x:c>
      <x:c r="C558" s="4" t="str">
        <x:v>Existing testbench</x:v>
      </x:c>
      <x:c r="D558" s="4" t="str">
        <x:v>tb</x:v>
      </x:c>
      <x:c r="E558" s="4" t="str"/>
      <x:c r="F558" s="4" t="str"/>
      <x:c r="G558" s="4" t="str">
        <x:v>Supporting evidence only; map assertions to case IDs before claiming coverage.</x:v>
      </x:c>
      <x:c r="H558" s="25" t="str">
        <x:v>https://github.com/kapiltrip/systemverilog-from-beginning/blob/318bd495dee245f946d7c72127cb698bcf6e6680/SV%20Basics/Codes/39-parameterized-transaction-mailbox/testbench.sv</x:v>
      </x:c>
      <x:c r="I558" s="4" t="str">
        <x:v>318bd495dee245f946d7c72127cb698bcf6e6680</x:v>
      </x:c>
    </x:row>
    <x:row r="559" ht="54" customHeight="1">
      <x:c r="A559" s="15" t="str">
        <x:v>systemverilog-from-beginning</x:v>
      </x:c>
      <x:c r="B559" s="15" t="str">
        <x:v>SV Basics/Codes/40-interface-modport-and-virtual-interface/design.sv</x:v>
      </x:c>
      <x:c r="C559" s="15" t="str">
        <x:v>RTL</x:v>
      </x:c>
      <x:c r="D559" s="15" t="str">
        <x:v>add</x:v>
      </x:c>
      <x:c r="E559" s="15" t="str">
        <x:v>a, b, clk</x:v>
      </x:c>
      <x:c r="F559" s="15" t="str">
        <x:v>sum</x:v>
      </x:c>
      <x:c r="G559" s="15" t="str">
        <x:v>SV-021</x:v>
      </x:c>
      <x:c r="H559" s="26" t="str">
        <x:v>https://github.com/kapiltrip/systemverilog-from-beginning/blob/318bd495dee245f946d7c72127cb698bcf6e6680/SV%20Basics/Codes/40-interface-modport-and-virtual-interface/design.sv</x:v>
      </x:c>
      <x:c r="I559" s="15" t="str">
        <x:v>318bd495dee245f946d7c72127cb698bcf6e6680</x:v>
      </x:c>
    </x:row>
    <x:row r="560" ht="54" customHeight="1">
      <x:c r="A560" s="4" t="str">
        <x:v>systemverilog-from-beginning</x:v>
      </x:c>
      <x:c r="B560" s="4" t="str">
        <x:v>SV Basics/Codes/40-interface-modport-and-virtual-interface/testbench.sv</x:v>
      </x:c>
      <x:c r="C560" s="4" t="str">
        <x:v>Existing testbench</x:v>
      </x:c>
      <x:c r="D560" s="4" t="str">
        <x:v>tb</x:v>
      </x:c>
      <x:c r="E560" s="4" t="str"/>
      <x:c r="F560" s="4" t="str"/>
      <x:c r="G560" s="4" t="str">
        <x:v>Supporting evidence only; map assertions to case IDs before claiming coverage.</x:v>
      </x:c>
      <x:c r="H560" s="25" t="str">
        <x:v>https://github.com/kapiltrip/systemverilog-from-beginning/blob/318bd495dee245f946d7c72127cb698bcf6e6680/SV%20Basics/Codes/40-interface-modport-and-virtual-interface/testbench.sv</x:v>
      </x:c>
      <x:c r="I560" s="4" t="str">
        <x:v>318bd495dee245f946d7c72127cb698bcf6e6680</x:v>
      </x:c>
    </x:row>
    <x:row r="561" ht="54" customHeight="1">
      <x:c r="A561" s="15" t="str">
        <x:v>systemverilog-from-beginning</x:v>
      </x:c>
      <x:c r="B561" s="15" t="str">
        <x:v>SV Basics/Codes/41-layered-adder-testbench-and-object-copies/design.sv</x:v>
      </x:c>
      <x:c r="C561" s="15" t="str">
        <x:v>RTL</x:v>
      </x:c>
      <x:c r="D561" s="15" t="str">
        <x:v>add</x:v>
      </x:c>
      <x:c r="E561" s="15" t="str">
        <x:v>a, b, clk</x:v>
      </x:c>
      <x:c r="F561" s="15" t="str">
        <x:v>sum</x:v>
      </x:c>
      <x:c r="G561" s="15" t="str">
        <x:v>SV-022</x:v>
      </x:c>
      <x:c r="H561" s="26" t="str">
        <x:v>https://github.com/kapiltrip/systemverilog-from-beginning/blob/318bd495dee245f946d7c72127cb698bcf6e6680/SV%20Basics/Codes/41-layered-adder-testbench-and-object-copies/design.sv</x:v>
      </x:c>
      <x:c r="I561" s="15" t="str">
        <x:v>318bd495dee245f946d7c72127cb698bcf6e6680</x:v>
      </x:c>
    </x:row>
    <x:row r="562" ht="54" customHeight="1">
      <x:c r="A562" s="4" t="str">
        <x:v>systemverilog-from-beginning</x:v>
      </x:c>
      <x:c r="B562" s="4" t="str">
        <x:v>SV Basics/Codes/41-layered-adder-testbench-and-object-copies/testbench.sv</x:v>
      </x:c>
      <x:c r="C562" s="4" t="str">
        <x:v>Existing testbench</x:v>
      </x:c>
      <x:c r="D562" s="4" t="str">
        <x:v>tb</x:v>
      </x:c>
      <x:c r="E562" s="4" t="str"/>
      <x:c r="F562" s="4" t="str"/>
      <x:c r="G562" s="4" t="str">
        <x:v>Supporting evidence only; map assertions to case IDs before claiming coverage.</x:v>
      </x:c>
      <x:c r="H562" s="25" t="str">
        <x:v>https://github.com/kapiltrip/systemverilog-from-beginning/blob/318bd495dee245f946d7c72127cb698bcf6e6680/SV%20Basics/Codes/41-layered-adder-testbench-and-object-copies/testbench.sv</x:v>
      </x:c>
      <x:c r="I562" s="4" t="str">
        <x:v>318bd495dee245f946d7c72127cb698bcf6e6680</x:v>
      </x:c>
    </x:row>
    <x:row r="563" ht="54" customHeight="1">
      <x:c r="A563" s="15" t="str">
        <x:v>systemverilog-from-beginning</x:v>
      </x:c>
      <x:c r="B563" s="15" t="str">
        <x:v>SV Basics/Codes/42-error-injection-with-inheritance/design.sv</x:v>
      </x:c>
      <x:c r="C563" s="15" t="str">
        <x:v>RTL</x:v>
      </x:c>
      <x:c r="D563" s="15" t="str">
        <x:v>add</x:v>
      </x:c>
      <x:c r="E563" s="15" t="str">
        <x:v>a, b, clk</x:v>
      </x:c>
      <x:c r="F563" s="15" t="str">
        <x:v>sum</x:v>
      </x:c>
      <x:c r="G563" s="15" t="str">
        <x:v>SV-023</x:v>
      </x:c>
      <x:c r="H563" s="26" t="str">
        <x:v>https://github.com/kapiltrip/systemverilog-from-beginning/blob/318bd495dee245f946d7c72127cb698bcf6e6680/SV%20Basics/Codes/42-error-injection-with-inheritance/design.sv</x:v>
      </x:c>
      <x:c r="I563" s="15" t="str">
        <x:v>318bd495dee245f946d7c72127cb698bcf6e6680</x:v>
      </x:c>
    </x:row>
    <x:row r="564" ht="54" customHeight="1">
      <x:c r="A564" s="4" t="str">
        <x:v>systemverilog-from-beginning</x:v>
      </x:c>
      <x:c r="B564" s="4" t="str">
        <x:v>SV Basics/Codes/42-error-injection-with-inheritance/testbench.sv</x:v>
      </x:c>
      <x:c r="C564" s="4" t="str">
        <x:v>Existing testbench</x:v>
      </x:c>
      <x:c r="D564" s="4" t="str">
        <x:v>tb</x:v>
      </x:c>
      <x:c r="E564" s="4" t="str"/>
      <x:c r="F564" s="4" t="str"/>
      <x:c r="G564" s="4" t="str">
        <x:v>Supporting evidence only; map assertions to case IDs before claiming coverage.</x:v>
      </x:c>
      <x:c r="H564" s="25" t="str">
        <x:v>https://github.com/kapiltrip/systemverilog-from-beginning/blob/318bd495dee245f946d7c72127cb698bcf6e6680/SV%20Basics/Codes/42-error-injection-with-inheritance/testbench.sv</x:v>
      </x:c>
      <x:c r="I564" s="4" t="str">
        <x:v>318bd495dee245f946d7c72127cb698bcf6e6680</x:v>
      </x:c>
    </x:row>
    <x:row r="565" ht="54" customHeight="1">
      <x:c r="A565" s="15" t="str">
        <x:v>systemverilog-from-beginning</x:v>
      </x:c>
      <x:c r="B565" s="15" t="str">
        <x:v>SV Basics/Codes/43-polymorphic-copy-error-injection/design.sv</x:v>
      </x:c>
      <x:c r="C565" s="15" t="str">
        <x:v>RTL</x:v>
      </x:c>
      <x:c r="D565" s="15" t="str">
        <x:v>add</x:v>
      </x:c>
      <x:c r="E565" s="15" t="str">
        <x:v>a, b, clk</x:v>
      </x:c>
      <x:c r="F565" s="15" t="str">
        <x:v>sum</x:v>
      </x:c>
      <x:c r="G565" s="15" t="str">
        <x:v>SV-024</x:v>
      </x:c>
      <x:c r="H565" s="26" t="str">
        <x:v>https://github.com/kapiltrip/systemverilog-from-beginning/blob/318bd495dee245f946d7c72127cb698bcf6e6680/SV%20Basics/Codes/43-polymorphic-copy-error-injection/design.sv</x:v>
      </x:c>
      <x:c r="I565" s="15" t="str">
        <x:v>318bd495dee245f946d7c72127cb698bcf6e6680</x:v>
      </x:c>
    </x:row>
    <x:row r="566" ht="54" customHeight="1">
      <x:c r="A566" s="4" t="str">
        <x:v>systemverilog-from-beginning</x:v>
      </x:c>
      <x:c r="B566" s="4" t="str">
        <x:v>SV Basics/Codes/43-polymorphic-copy-error-injection/testbench.sv</x:v>
      </x:c>
      <x:c r="C566" s="4" t="str">
        <x:v>Existing testbench</x:v>
      </x:c>
      <x:c r="D566" s="4" t="str">
        <x:v>tb</x:v>
      </x:c>
      <x:c r="E566" s="4" t="str"/>
      <x:c r="F566" s="4" t="str"/>
      <x:c r="G566" s="4" t="str">
        <x:v>Supporting evidence only; map assertions to case IDs before claiming coverage.</x:v>
      </x:c>
      <x:c r="H566" s="25" t="str">
        <x:v>https://github.com/kapiltrip/systemverilog-from-beginning/blob/318bd495dee245f946d7c72127cb698bcf6e6680/SV%20Basics/Codes/43-polymorphic-copy-error-injection/testbench.sv</x:v>
      </x:c>
      <x:c r="I566" s="4" t="str">
        <x:v>318bd495dee245f946d7c72127cb698bcf6e6680</x:v>
      </x:c>
    </x:row>
    <x:row r="567" ht="54" customHeight="1">
      <x:c r="A567" s="15" t="str">
        <x:v>systemverilog-from-beginning</x:v>
      </x:c>
      <x:c r="B567" s="15" t="str">
        <x:v>SV Basics/Codes/44-monitor-scoreboard-separate-mailboxes/design.sv</x:v>
      </x:c>
      <x:c r="C567" s="15" t="str">
        <x:v>RTL</x:v>
      </x:c>
      <x:c r="D567" s="15" t="str">
        <x:v>add</x:v>
      </x:c>
      <x:c r="E567" s="15" t="str">
        <x:v>a, b, clk</x:v>
      </x:c>
      <x:c r="F567" s="15" t="str">
        <x:v>sum</x:v>
      </x:c>
      <x:c r="G567" s="15" t="str">
        <x:v>SV-025</x:v>
      </x:c>
      <x:c r="H567" s="26" t="str">
        <x:v>https://github.com/kapiltrip/systemverilog-from-beginning/blob/318bd495dee245f946d7c72127cb698bcf6e6680/SV%20Basics/Codes/44-monitor-scoreboard-separate-mailboxes/design.sv</x:v>
      </x:c>
      <x:c r="I567" s="15" t="str">
        <x:v>318bd495dee245f946d7c72127cb698bcf6e6680</x:v>
      </x:c>
    </x:row>
    <x:row r="568" ht="68" customHeight="1">
      <x:c r="A568" s="4" t="str">
        <x:v>systemverilog-from-beginning</x:v>
      </x:c>
      <x:c r="B568" s="4" t="str">
        <x:v>SV Basics/Codes/44-monitor-scoreboard-separate-mailboxes/faulty-single-mailbox-testbench.sv</x:v>
      </x:c>
      <x:c r="C568" s="4" t="str">
        <x:v>Existing testbench</x:v>
      </x:c>
      <x:c r="D568" s="4" t="str">
        <x:v>tb</x:v>
      </x:c>
      <x:c r="E568" s="4" t="str"/>
      <x:c r="F568" s="4" t="str"/>
      <x:c r="G568" s="4" t="str">
        <x:v>Supporting evidence only; map assertions to case IDs before claiming coverage.</x:v>
      </x:c>
      <x:c r="H568" s="25" t="str">
        <x:v>https://github.com/kapiltrip/systemverilog-from-beginning/blob/318bd495dee245f946d7c72127cb698bcf6e6680/SV%20Basics/Codes/44-monitor-scoreboard-separate-mailboxes/faulty-single-mailbox-testbench.sv</x:v>
      </x:c>
      <x:c r="I568" s="4" t="str">
        <x:v>318bd495dee245f946d7c72127cb698bcf6e6680</x:v>
      </x:c>
    </x:row>
    <x:row r="569" ht="54" customHeight="1">
      <x:c r="A569" s="15" t="str">
        <x:v>systemverilog-from-beginning</x:v>
      </x:c>
      <x:c r="B569" s="15" t="str">
        <x:v>SV Basics/Codes/44-monitor-scoreboard-separate-mailboxes/testbench.sv</x:v>
      </x:c>
      <x:c r="C569" s="15" t="str">
        <x:v>Existing testbench</x:v>
      </x:c>
      <x:c r="D569" s="15" t="str">
        <x:v>tb</x:v>
      </x:c>
      <x:c r="E569" s="15" t="str"/>
      <x:c r="F569" s="15" t="str"/>
      <x:c r="G569" s="15" t="str">
        <x:v>Supporting evidence only; map assertions to case IDs before claiming coverage.</x:v>
      </x:c>
      <x:c r="H569" s="26" t="str">
        <x:v>https://github.com/kapiltrip/systemverilog-from-beginning/blob/318bd495dee245f946d7c72127cb698bcf6e6680/SV%20Basics/Codes/44-monitor-scoreboard-separate-mailboxes/testbench.sv</x:v>
      </x:c>
      <x:c r="I569" s="15" t="str">
        <x:v>318bd495dee245f946d7c72127cb698bcf6e6680</x:v>
      </x:c>
    </x:row>
    <x:row r="570" ht="54" customHeight="1">
      <x:c r="A570" s="4" t="str">
        <x:v>systemverilog-from-beginning</x:v>
      </x:c>
      <x:c r="B570" s="4" t="str">
        <x:v>SV Functional Coverage/Codes/01-basic-coverpoints/design.sv</x:v>
      </x:c>
      <x:c r="C570" s="4" t="str">
        <x:v>RTL</x:v>
      </x:c>
      <x:c r="D570" s="4" t="str">
        <x:v>top</x:v>
      </x:c>
      <x:c r="E570" s="4" t="str">
        <x:v>a</x:v>
      </x:c>
      <x:c r="F570" s="4" t="str">
        <x:v>b</x:v>
      </x:c>
      <x:c r="G570" s="4" t="str">
        <x:v>SV-026</x:v>
      </x:c>
      <x:c r="H570" s="25" t="str">
        <x:v>https://github.com/kapiltrip/systemverilog-from-beginning/blob/318bd495dee245f946d7c72127cb698bcf6e6680/SV%20Functional%20Coverage/Codes/01-basic-coverpoints/design.sv</x:v>
      </x:c>
      <x:c r="I570" s="4" t="str">
        <x:v>318bd495dee245f946d7c72127cb698bcf6e6680</x:v>
      </x:c>
    </x:row>
    <x:row r="571" ht="54" customHeight="1">
      <x:c r="A571" s="15" t="str">
        <x:v>systemverilog-from-beginning</x:v>
      </x:c>
      <x:c r="B571" s="15" t="str">
        <x:v>SV Functional Coverage/Codes/01-basic-coverpoints/testbench.sv</x:v>
      </x:c>
      <x:c r="C571" s="15" t="str">
        <x:v>Existing testbench</x:v>
      </x:c>
      <x:c r="D571" s="15" t="str">
        <x:v>tb</x:v>
      </x:c>
      <x:c r="E571" s="15" t="str"/>
      <x:c r="F571" s="15" t="str"/>
      <x:c r="G571" s="15" t="str">
        <x:v>Supporting evidence only; map assertions to case IDs before claiming coverage.</x:v>
      </x:c>
      <x:c r="H571" s="26" t="str">
        <x:v>https://github.com/kapiltrip/systemverilog-from-beginning/blob/318bd495dee245f946d7c72127cb698bcf6e6680/SV%20Functional%20Coverage/Codes/01-basic-coverpoints/testbench.sv</x:v>
      </x:c>
      <x:c r="I571" s="15" t="str">
        <x:v>318bd495dee245f946d7c72127cb698bcf6e6680</x:v>
      </x:c>
    </x:row>
    <x:row r="572" ht="54" customHeight="1">
      <x:c r="A572" s="4" t="str">
        <x:v>systemverilog-from-beginning</x:v>
      </x:c>
      <x:c r="B572" s="4" t="str">
        <x:v>SV Functional Coverage/Codes/02-instance-type-goals-and-weights/testbench.sv</x:v>
      </x:c>
      <x:c r="C572" s="4" t="str">
        <x:v>Existing testbench</x:v>
      </x:c>
      <x:c r="D572" s="4" t="str">
        <x:v>tb</x:v>
      </x:c>
      <x:c r="E572" s="4" t="str"/>
      <x:c r="F572" s="4" t="str"/>
      <x:c r="G572" s="4" t="str">
        <x:v>Supporting evidence only; map assertions to case IDs before claiming coverage.</x:v>
      </x:c>
      <x:c r="H572" s="25" t="str">
        <x:v>https://github.com/kapiltrip/systemverilog-from-beginning/blob/318bd495dee245f946d7c72127cb698bcf6e6680/SV%20Functional%20Coverage/Codes/02-instance-type-goals-and-weights/testbench.sv</x:v>
      </x:c>
      <x:c r="I572" s="4" t="str">
        <x:v>318bd495dee245f946d7c72127cb698bcf6e6680</x:v>
      </x:c>
    </x:row>
    <x:row r="573" ht="54" customHeight="1">
      <x:c r="A573" s="15" t="str">
        <x:v>systemverilog-from-beginning</x:v>
      </x:c>
      <x:c r="B573" s="15" t="str">
        <x:v>SV Functional Coverage/Codes/03-conditional-sampling-with-iff/testbench.sv</x:v>
      </x:c>
      <x:c r="C573" s="15" t="str">
        <x:v>Existing testbench</x:v>
      </x:c>
      <x:c r="D573" s="15" t="str">
        <x:v>tb</x:v>
      </x:c>
      <x:c r="E573" s="15" t="str"/>
      <x:c r="F573" s="15" t="str"/>
      <x:c r="G573" s="15" t="str">
        <x:v>Supporting evidence only; map assertions to case IDs before claiming coverage.</x:v>
      </x:c>
      <x:c r="H573" s="26" t="str">
        <x:v>https://github.com/kapiltrip/systemverilog-from-beginning/blob/318bd495dee245f946d7c72127cb698bcf6e6680/SV%20Functional%20Coverage/Codes/03-conditional-sampling-with-iff/testbench.sv</x:v>
      </x:c>
      <x:c r="I573" s="15" t="str">
        <x:v>318bd495dee245f946d7c72127cb698bcf6e6680</x:v>
      </x:c>
    </x:row>
    <x:row r="574" ht="54" customHeight="1">
      <x:c r="A574" s="4" t="str">
        <x:v>systemverilog-from-beginning</x:v>
      </x:c>
      <x:c r="B574" s="4" t="str">
        <x:v>SV Functional Coverage/Codes/04-automatic-bins-and-auto-bin-max/testbench.sv</x:v>
      </x:c>
      <x:c r="C574" s="4" t="str">
        <x:v>Existing testbench</x:v>
      </x:c>
      <x:c r="D574" s="4" t="str">
        <x:v>tb</x:v>
      </x:c>
      <x:c r="E574" s="4" t="str"/>
      <x:c r="F574" s="4" t="str"/>
      <x:c r="G574" s="4" t="str">
        <x:v>Supporting evidence only; map assertions to case IDs before claiming coverage.</x:v>
      </x:c>
      <x:c r="H574" s="25" t="str">
        <x:v>https://github.com/kapiltrip/systemverilog-from-beginning/blob/318bd495dee245f946d7c72127cb698bcf6e6680/SV%20Functional%20Coverage/Codes/04-automatic-bins-and-auto-bin-max/testbench.sv</x:v>
      </x:c>
      <x:c r="I574" s="4" t="str">
        <x:v>318bd495dee245f946d7c72127cb698bcf6e6680</x:v>
      </x:c>
    </x:row>
    <x:row r="575" ht="54" customHeight="1">
      <x:c r="A575" s="15" t="str">
        <x:v>systemverilog-from-beginning</x:v>
      </x:c>
      <x:c r="B575" s="15" t="str">
        <x:v>SV Functional Coverage/Codes/05-explicit-bins-and-fixed-bin-arrays/testbench.sv</x:v>
      </x:c>
      <x:c r="C575" s="15" t="str">
        <x:v>Existing testbench</x:v>
      </x:c>
      <x:c r="D575" s="15" t="str">
        <x:v>tb</x:v>
      </x:c>
      <x:c r="E575" s="15" t="str"/>
      <x:c r="F575" s="15" t="str"/>
      <x:c r="G575" s="15" t="str">
        <x:v>Supporting evidence only; map assertions to case IDs before claiming coverage.</x:v>
      </x:c>
      <x:c r="H575" s="26" t="str">
        <x:v>https://github.com/kapiltrip/systemverilog-from-beginning/blob/318bd495dee245f946d7c72127cb698bcf6e6680/SV%20Functional%20Coverage/Codes/05-explicit-bins-and-fixed-bin-arrays/testbench.sv</x:v>
      </x:c>
      <x:c r="I575" s="15" t="str">
        <x:v>318bd495dee245f946d7c72127cb698bcf6e6680</x:v>
      </x:c>
    </x:row>
    <x:row r="576" ht="54" customHeight="1">
      <x:c r="A576" s="4" t="str">
        <x:v>systemverilog-from-beginning</x:v>
      </x:c>
      <x:c r="B576" s="4" t="str">
        <x:v>SV Functional Coverage/Codes/06-default-bins-for-unused-values/testbench.sv</x:v>
      </x:c>
      <x:c r="C576" s="4" t="str">
        <x:v>Existing testbench</x:v>
      </x:c>
      <x:c r="D576" s="4" t="str">
        <x:v>tb</x:v>
      </x:c>
      <x:c r="E576" s="4" t="str"/>
      <x:c r="F576" s="4" t="str"/>
      <x:c r="G576" s="4" t="str">
        <x:v>Supporting evidence only; map assertions to case IDs before claiming coverage.</x:v>
      </x:c>
      <x:c r="H576" s="25" t="str">
        <x:v>https://github.com/kapiltrip/systemverilog-from-beginning/blob/318bd495dee245f946d7c72127cb698bcf6e6680/SV%20Functional%20Coverage/Codes/06-default-bins-for-unused-values/testbench.sv</x:v>
      </x:c>
      <x:c r="I576" s="4" t="str">
        <x:v>318bd495dee245f946d7c72127cb698bcf6e6680</x:v>
      </x:c>
    </x:row>
    <x:row r="577" ht="54" customHeight="1">
      <x:c r="A577" s="15" t="str">
        <x:v>systemverilog-from-beginning</x:v>
      </x:c>
      <x:c r="B577" s="15" t="str">
        <x:v>SV Functional Coverage/Codes/07-multiplexer-signal-coverpoints/design.sv</x:v>
      </x:c>
      <x:c r="C577" s="15" t="str">
        <x:v>RTL</x:v>
      </x:c>
      <x:c r="D577" s="15" t="str">
        <x:v>top</x:v>
      </x:c>
      <x:c r="E577" s="15" t="str">
        <x:v>a, b, c, d, sel</x:v>
      </x:c>
      <x:c r="F577" s="15" t="str">
        <x:v>y</x:v>
      </x:c>
      <x:c r="G577" s="15" t="str">
        <x:v>SV-027</x:v>
      </x:c>
      <x:c r="H577" s="26" t="str">
        <x:v>https://github.com/kapiltrip/systemverilog-from-beginning/blob/318bd495dee245f946d7c72127cb698bcf6e6680/SV%20Functional%20Coverage/Codes/07-multiplexer-signal-coverpoints/design.sv</x:v>
      </x:c>
      <x:c r="I577" s="15" t="str">
        <x:v>318bd495dee245f946d7c72127cb698bcf6e6680</x:v>
      </x:c>
    </x:row>
    <x:row r="578" ht="54" customHeight="1">
      <x:c r="A578" s="4" t="str">
        <x:v>systemverilog-from-beginning</x:v>
      </x:c>
      <x:c r="B578" s="4" t="str">
        <x:v>SV Functional Coverage/Codes/07-multiplexer-signal-coverpoints/testbench.sv</x:v>
      </x:c>
      <x:c r="C578" s="4" t="str">
        <x:v>Existing testbench</x:v>
      </x:c>
      <x:c r="D578" s="4" t="str">
        <x:v>tb</x:v>
      </x:c>
      <x:c r="E578" s="4" t="str"/>
      <x:c r="F578" s="4" t="str"/>
      <x:c r="G578" s="4" t="str">
        <x:v>Supporting evidence only; map assertions to case IDs before claiming coverage.</x:v>
      </x:c>
      <x:c r="H578" s="25" t="str">
        <x:v>https://github.com/kapiltrip/systemverilog-from-beginning/blob/318bd495dee245f946d7c72127cb698bcf6e6680/SV%20Functional%20Coverage/Codes/07-multiplexer-signal-coverpoints/testbench.sv</x:v>
      </x:c>
      <x:c r="I578" s="4" t="str">
        <x:v>318bd495dee245f946d7c72127cb698bcf6e6680</x:v>
      </x:c>
    </x:row>
    <x:row r="579" ht="54" customHeight="1">
      <x:c r="A579" s="15" t="str">
        <x:v>systemverilog-from-beginning</x:v>
      </x:c>
      <x:c r="B579" s="15" t="str">
        <x:v>SV Functional Coverage/Codes/08-enumerated-state-coverpoint/testbench.sv</x:v>
      </x:c>
      <x:c r="C579" s="15" t="str">
        <x:v>Existing testbench</x:v>
      </x:c>
      <x:c r="D579" s="15" t="str">
        <x:v>tb</x:v>
      </x:c>
      <x:c r="E579" s="15" t="str"/>
      <x:c r="F579" s="15" t="str"/>
      <x:c r="G579" s="15" t="str">
        <x:v>Supporting evidence only; map assertions to case IDs before claiming coverage.</x:v>
      </x:c>
      <x:c r="H579" s="26" t="str">
        <x:v>https://github.com/kapiltrip/systemverilog-from-beginning/blob/318bd495dee245f946d7c72127cb698bcf6e6680/SV%20Functional%20Coverage/Codes/08-enumerated-state-coverpoint/testbench.sv</x:v>
      </x:c>
      <x:c r="I579" s="15" t="str">
        <x:v>318bd495dee245f946d7c72127cb698bcf6e6680</x:v>
      </x:c>
    </x:row>
    <x:row r="580" ht="54" customHeight="1">
      <x:c r="A580" s="4" t="str">
        <x:v>systemverilog-from-beginning</x:v>
      </x:c>
      <x:c r="B580" s="4" t="str">
        <x:v>SV Functional Coverage/Codes/09-fsm-state-coverage-and-report-timing/design.sv</x:v>
      </x:c>
      <x:c r="C580" s="4" t="str">
        <x:v>RTL</x:v>
      </x:c>
      <x:c r="D580" s="4" t="str">
        <x:v>fsm</x:v>
      </x:c>
      <x:c r="E580" s="4" t="str">
        <x:v>x, clk, rst</x:v>
      </x:c>
      <x:c r="F580" s="4" t="str">
        <x:v>y</x:v>
      </x:c>
      <x:c r="G580" s="4" t="str">
        <x:v>SV-028</x:v>
      </x:c>
      <x:c r="H580" s="25" t="str">
        <x:v>https://github.com/kapiltrip/systemverilog-from-beginning/blob/318bd495dee245f946d7c72127cb698bcf6e6680/SV%20Functional%20Coverage/Codes/09-fsm-state-coverage-and-report-timing/design.sv</x:v>
      </x:c>
      <x:c r="I580" s="4" t="str">
        <x:v>318bd495dee245f946d7c72127cb698bcf6e6680</x:v>
      </x:c>
    </x:row>
    <x:row r="581" ht="54" customHeight="1">
      <x:c r="A581" s="15" t="str">
        <x:v>systemverilog-from-beginning</x:v>
      </x:c>
      <x:c r="B581" s="15" t="str">
        <x:v>SV Functional Coverage/Codes/09-fsm-state-coverage-and-report-timing/testbench.sv</x:v>
      </x:c>
      <x:c r="C581" s="15" t="str">
        <x:v>Existing testbench</x:v>
      </x:c>
      <x:c r="D581" s="15" t="str">
        <x:v>tb</x:v>
      </x:c>
      <x:c r="E581" s="15" t="str"/>
      <x:c r="F581" s="15" t="str"/>
      <x:c r="G581" s="15" t="str">
        <x:v>Supporting evidence only; map assertions to case IDs before claiming coverage.</x:v>
      </x:c>
      <x:c r="H581" s="26" t="str">
        <x:v>https://github.com/kapiltrip/systemverilog-from-beginning/blob/318bd495dee245f946d7c72127cb698bcf6e6680/SV%20Functional%20Coverage/Codes/09-fsm-state-coverage-and-report-timing/testbench.sv</x:v>
      </x:c>
      <x:c r="I581" s="15" t="str">
        <x:v>318bd495dee245f946d7c72127cb698bcf6e6680</x:v>
      </x:c>
    </x:row>
    <x:row r="582" ht="54" customHeight="1">
      <x:c r="A582" s="4" t="str">
        <x:v>systemverilog-from-beginning</x:v>
      </x:c>
      <x:c r="B582" s="4" t="str">
        <x:v>SV Functional Coverage/Codes/10-with-filtered-and-overlapping-bins/testbench.sv</x:v>
      </x:c>
      <x:c r="C582" s="4" t="str">
        <x:v>Existing testbench</x:v>
      </x:c>
      <x:c r="D582" s="4" t="str">
        <x:v>tb</x:v>
      </x:c>
      <x:c r="E582" s="4" t="str"/>
      <x:c r="F582" s="4" t="str"/>
      <x:c r="G582" s="4" t="str">
        <x:v>Supporting evidence only; map assertions to case IDs before claiming coverage.</x:v>
      </x:c>
      <x:c r="H582" s="25" t="str">
        <x:v>https://github.com/kapiltrip/systemverilog-from-beginning/blob/318bd495dee245f946d7c72127cb698bcf6e6680/SV%20Functional%20Coverage/Codes/10-with-filtered-and-overlapping-bins/testbench.sv</x:v>
      </x:c>
      <x:c r="I582" s="4" t="str">
        <x:v>318bd495dee245f946d7c72127cb698bcf6e6680</x:v>
      </x:c>
    </x:row>
    <x:row r="583" ht="68" customHeight="1">
      <x:c r="A583" s="15" t="str">
        <x:v>systemverilog-from-beginning</x:v>
      </x:c>
      <x:c r="B583" s="15" t="str">
        <x:v>SV Functional Coverage/Codes/11-legal-illegal-and-out-of-domain-opcode-bins/testbench.sv</x:v>
      </x:c>
      <x:c r="C583" s="15" t="str">
        <x:v>Existing testbench</x:v>
      </x:c>
      <x:c r="D583" s="15" t="str">
        <x:v>tb</x:v>
      </x:c>
      <x:c r="E583" s="15" t="str"/>
      <x:c r="F583" s="15" t="str"/>
      <x:c r="G583" s="15" t="str">
        <x:v>Supporting evidence only; map assertions to case IDs before claiming coverage.</x:v>
      </x:c>
      <x:c r="H583" s="26" t="str">
        <x:v>https://github.com/kapiltrip/systemverilog-from-beginning/blob/318bd495dee245f946d7c72127cb698bcf6e6680/SV%20Functional%20Coverage/Codes/11-legal-illegal-and-out-of-domain-opcode-bins/testbench.sv</x:v>
      </x:c>
      <x:c r="I583" s="15" t="str">
        <x:v>318bd495dee245f946d7c72127cb698bcf6e6680</x:v>
      </x:c>
    </x:row>
    <x:row r="584" ht="54" customHeight="1">
      <x:c r="A584" s="4" t="str">
        <x:v>systemverilog-from-beginning</x:v>
      </x:c>
      <x:c r="B584" s="4" t="str">
        <x:v>SV Functional Coverage/Codes/12-ignore-bins-and-domain-closure/testbench.sv</x:v>
      </x:c>
      <x:c r="C584" s="4" t="str">
        <x:v>Existing testbench</x:v>
      </x:c>
      <x:c r="D584" s="4" t="str">
        <x:v>tb</x:v>
      </x:c>
      <x:c r="E584" s="4" t="str"/>
      <x:c r="F584" s="4" t="str"/>
      <x:c r="G584" s="4" t="str">
        <x:v>Supporting evidence only; map assertions to case IDs before claiming coverage.</x:v>
      </x:c>
      <x:c r="H584" s="25" t="str">
        <x:v>https://github.com/kapiltrip/systemverilog-from-beginning/blob/318bd495dee245f946d7c72127cb698bcf6e6680/SV%20Functional%20Coverage/Codes/12-ignore-bins-and-domain-closure/testbench.sv</x:v>
      </x:c>
      <x:c r="I584" s="4" t="str">
        <x:v>318bd495dee245f946d7c72127cb698bcf6e6680</x:v>
      </x:c>
    </x:row>
    <x:row r="585" ht="54" customHeight="1">
      <x:c r="A585" s="15" t="str">
        <x:v>systemverilog-from-beginning</x:v>
      </x:c>
      <x:c r="B585" s="15" t="str">
        <x:v>SV Functional Coverage/Codes/13-illegal-bin-precedence-and-report-timing/testbench.sv</x:v>
      </x:c>
      <x:c r="C585" s="15" t="str">
        <x:v>Existing testbench</x:v>
      </x:c>
      <x:c r="D585" s="15" t="str">
        <x:v>tb</x:v>
      </x:c>
      <x:c r="E585" s="15" t="str"/>
      <x:c r="F585" s="15" t="str"/>
      <x:c r="G585" s="15" t="str">
        <x:v>Supporting evidence only; map assertions to case IDs before claiming coverage.</x:v>
      </x:c>
      <x:c r="H585" s="26" t="str">
        <x:v>https://github.com/kapiltrip/systemverilog-from-beginning/blob/318bd495dee245f946d7c72127cb698bcf6e6680/SV%20Functional%20Coverage/Codes/13-illegal-bin-precedence-and-report-timing/testbench.sv</x:v>
      </x:c>
      <x:c r="I585" s="15" t="str">
        <x:v>318bd495dee245f946d7c72127cb698bcf6e6680</x:v>
      </x:c>
    </x:row>
    <x:row r="586" ht="54" customHeight="1">
      <x:c r="A586" s="4" t="str">
        <x:v>systemverilog-from-beginning</x:v>
      </x:c>
      <x:c r="B586" s="4" t="str">
        <x:v>SV Functional Coverage/Codes/14-wildcard-bins-casez-and-casex/design.sv</x:v>
      </x:c>
      <x:c r="C586" s="4" t="str">
        <x:v>RTL</x:v>
      </x:c>
      <x:c r="D586" s="4" t="str">
        <x:v>priorityEncoder</x:v>
      </x:c>
      <x:c r="E586" s="4" t="str">
        <x:v>x</x:v>
      </x:c>
      <x:c r="F586" s="4" t="str">
        <x:v>y</x:v>
      </x:c>
      <x:c r="G586" s="4" t="str">
        <x:v>SV-029</x:v>
      </x:c>
      <x:c r="H586" s="25" t="str">
        <x:v>https://github.com/kapiltrip/systemverilog-from-beginning/blob/318bd495dee245f946d7c72127cb698bcf6e6680/SV%20Functional%20Coverage/Codes/14-wildcard-bins-casez-and-casex/design.sv</x:v>
      </x:c>
      <x:c r="I586" s="4" t="str">
        <x:v>318bd495dee245f946d7c72127cb698bcf6e6680</x:v>
      </x:c>
    </x:row>
    <x:row r="587" ht="54" customHeight="1">
      <x:c r="A587" s="15" t="str">
        <x:v>systemverilog-from-beginning</x:v>
      </x:c>
      <x:c r="B587" s="15" t="str">
        <x:v>SV Functional Coverage/Codes/14-wildcard-bins-casez-and-casex/testbench.sv</x:v>
      </x:c>
      <x:c r="C587" s="15" t="str">
        <x:v>Existing testbench</x:v>
      </x:c>
      <x:c r="D587" s="15" t="str">
        <x:v>tb</x:v>
      </x:c>
      <x:c r="E587" s="15" t="str"/>
      <x:c r="F587" s="15" t="str"/>
      <x:c r="G587" s="15" t="str">
        <x:v>Supporting evidence only; map assertions to case IDs before claiming coverage.</x:v>
      </x:c>
      <x:c r="H587" s="26" t="str">
        <x:v>https://github.com/kapiltrip/systemverilog-from-beginning/blob/318bd495dee245f946d7c72127cb698bcf6e6680/SV%20Functional%20Coverage/Codes/14-wildcard-bins-casez-and-casex/testbench.sv</x:v>
      </x:c>
      <x:c r="I587" s="15" t="str">
        <x:v>318bd495dee245f946d7c72127cb698bcf6e6680</x:v>
      </x:c>
    </x:row>
    <x:row r="588" ht="54" customHeight="1">
      <x:c r="A588" s="4" t="str">
        <x:v>systemverilog-from-beginning</x:v>
      </x:c>
      <x:c r="B588" s="4" t="str">
        <x:v>SV Functional Coverage/Codes/14-wildcard-bins-casez-and-casex/verified-design.sv</x:v>
      </x:c>
      <x:c r="C588" s="4" t="str">
        <x:v>RTL</x:v>
      </x:c>
      <x:c r="D588" s="4" t="str">
        <x:v>priority_encoder</x:v>
      </x:c>
      <x:c r="E588" s="4" t="str">
        <x:v>x</x:v>
      </x:c>
      <x:c r="F588" s="4" t="str">
        <x:v>y</x:v>
      </x:c>
      <x:c r="G588" s="4" t="str">
        <x:v>SV-030</x:v>
      </x:c>
      <x:c r="H588" s="25" t="str">
        <x:v>https://github.com/kapiltrip/systemverilog-from-beginning/blob/318bd495dee245f946d7c72127cb698bcf6e6680/SV%20Functional%20Coverage/Codes/14-wildcard-bins-casez-and-casex/verified-design.sv</x:v>
      </x:c>
      <x:c r="I588" s="4" t="str">
        <x:v>318bd495dee245f946d7c72127cb698bcf6e6680</x:v>
      </x:c>
    </x:row>
    <x:row r="589" ht="54" customHeight="1">
      <x:c r="A589" s="15" t="str">
        <x:v>systemverilog-from-beginning</x:v>
      </x:c>
      <x:c r="B589" s="15" t="str">
        <x:v>SV Functional Coverage/Codes/14-wildcard-bins-casez-and-casex/verified-testbench.sv</x:v>
      </x:c>
      <x:c r="C589" s="15" t="str">
        <x:v>Existing testbench</x:v>
      </x:c>
      <x:c r="D589" s="15" t="str">
        <x:v>tb</x:v>
      </x:c>
      <x:c r="E589" s="15" t="str">
        <x:v>value, stimulus, input, should</x:v>
      </x:c>
      <x:c r="F589" s="15" t="str"/>
      <x:c r="G589" s="15" t="str">
        <x:v>Supporting evidence only; map assertions to case IDs before claiming coverage.</x:v>
      </x:c>
      <x:c r="H589" s="26" t="str">
        <x:v>https://github.com/kapiltrip/systemverilog-from-beginning/blob/318bd495dee245f946d7c72127cb698bcf6e6680/SV%20Functional%20Coverage/Codes/14-wildcard-bins-casez-and-casex/verified-testbench.sv</x:v>
      </x:c>
      <x:c r="I589" s="15" t="str">
        <x:v>318bd495dee245f946d7c72127cb698bcf6e6680</x:v>
      </x:c>
    </x:row>
    <x:row r="590" ht="54" customHeight="1">
      <x:c r="A590" s="4" t="str">
        <x:v>systemverilog-from-beginning</x:v>
      </x:c>
      <x:c r="B590" s="4" t="str">
        <x:v>SV Functional Coverage/Codes/15-counter-wildcard-bins-and-finite-reporting/design.sv</x:v>
      </x:c>
      <x:c r="C590" s="4" t="str">
        <x:v>RTL</x:v>
      </x:c>
      <x:c r="D590" s="4" t="str">
        <x:v>counter</x:v>
      </x:c>
      <x:c r="E590" s="4" t="str">
        <x:v>clk, en</x:v>
      </x:c>
      <x:c r="F590" s="4" t="str">
        <x:v>y</x:v>
      </x:c>
      <x:c r="G590" s="4" t="str">
        <x:v>SV-031</x:v>
      </x:c>
      <x:c r="H590" s="25" t="str">
        <x:v>https://github.com/kapiltrip/systemverilog-from-beginning/blob/318bd495dee245f946d7c72127cb698bcf6e6680/SV%20Functional%20Coverage/Codes/15-counter-wildcard-bins-and-finite-reporting/design.sv</x:v>
      </x:c>
      <x:c r="I590" s="4" t="str">
        <x:v>318bd495dee245f946d7c72127cb698bcf6e6680</x:v>
      </x:c>
    </x:row>
    <x:row r="591" ht="54" customHeight="1">
      <x:c r="A591" s="15" t="str">
        <x:v>systemverilog-from-beginning</x:v>
      </x:c>
      <x:c r="B591" s="15" t="str">
        <x:v>SV Functional Coverage/Codes/15-counter-wildcard-bins-and-finite-reporting/testbench.sv</x:v>
      </x:c>
      <x:c r="C591" s="15" t="str">
        <x:v>Existing testbench</x:v>
      </x:c>
      <x:c r="D591" s="15" t="str">
        <x:v>tb</x:v>
      </x:c>
      <x:c r="E591" s="15" t="str"/>
      <x:c r="F591" s="15" t="str"/>
      <x:c r="G591" s="15" t="str">
        <x:v>Supporting evidence only; map assertions to case IDs before claiming coverage.</x:v>
      </x:c>
      <x:c r="H591" s="26" t="str">
        <x:v>https://github.com/kapiltrip/systemverilog-from-beginning/blob/318bd495dee245f946d7c72127cb698bcf6e6680/SV%20Functional%20Coverage/Codes/15-counter-wildcard-bins-and-finite-reporting/testbench.sv</x:v>
      </x:c>
      <x:c r="I591" s="15" t="str">
        <x:v>318bd495dee245f946d7c72127cb698bcf6e6680</x:v>
      </x:c>
    </x:row>
    <x:row r="592" ht="54" customHeight="1">
      <x:c r="A592" s="4" t="str">
        <x:v>systemverilog-from-beginning</x:v>
      </x:c>
      <x:c r="B592" s="4" t="str">
        <x:v>SV Functional Coverage/Codes/16-reusable-covergroup-fundamentals/testbench.sv</x:v>
      </x:c>
      <x:c r="C592" s="4" t="str">
        <x:v>Existing testbench</x:v>
      </x:c>
      <x:c r="D592" s="4" t="str">
        <x:v>tb</x:v>
      </x:c>
      <x:c r="E592" s="4" t="str">
        <x:v>string</x:v>
      </x:c>
      <x:c r="F592" s="4" t="str"/>
      <x:c r="G592" s="4" t="str">
        <x:v>Supporting evidence only; map assertions to case IDs before claiming coverage.</x:v>
      </x:c>
      <x:c r="H592" s="25" t="str">
        <x:v>https://github.com/kapiltrip/systemverilog-from-beginning/blob/318bd495dee245f946d7c72127cb698bcf6e6680/SV%20Functional%20Coverage/Codes/16-reusable-covergroup-fundamentals/testbench.sv</x:v>
      </x:c>
      <x:c r="I592" s="4" t="str">
        <x:v>318bd495dee245f946d7c72127cb698bcf6e6680</x:v>
      </x:c>
    </x:row>
    <x:row r="593" ht="54" customHeight="1">
      <x:c r="A593" s="15" t="str">
        <x:v>systemverilog-from-beginning</x:v>
      </x:c>
      <x:c r="B593" s="15" t="str">
        <x:v>SV Functional Coverage/Codes/17-reusable-covergroup-pass-by-reference/testbench.sv</x:v>
      </x:c>
      <x:c r="C593" s="15" t="str">
        <x:v>Existing testbench</x:v>
      </x:c>
      <x:c r="D593" s="15" t="str">
        <x:v>tb</x:v>
      </x:c>
      <x:c r="E593" s="15" t="str">
        <x:v>string</x:v>
      </x:c>
      <x:c r="F593" s="15" t="str"/>
      <x:c r="G593" s="15" t="str">
        <x:v>Supporting evidence only; map assertions to case IDs before claiming coverage.</x:v>
      </x:c>
      <x:c r="H593" s="26" t="str">
        <x:v>https://github.com/kapiltrip/systemverilog-from-beginning/blob/318bd495dee245f946d7c72127cb698bcf6e6680/SV%20Functional%20Coverage/Codes/17-reusable-covergroup-pass-by-reference/testbench.sv</x:v>
      </x:c>
      <x:c r="I593" s="15" t="str">
        <x:v>318bd495dee245f946d7c72127cb698bcf6e6680</x:v>
      </x:c>
    </x:row>
    <x:row r="594" ht="54" customHeight="1">
      <x:c r="A594" s="4" t="str">
        <x:v>systemverilog-from-beginning</x:v>
      </x:c>
      <x:c r="B594" s="4" t="str">
        <x:v>SV Functional Coverage/Codes/18-reusable-covergroup-pass-by-value/testbench.sv</x:v>
      </x:c>
      <x:c r="C594" s="4" t="str">
        <x:v>Existing testbench</x:v>
      </x:c>
      <x:c r="D594" s="4" t="str">
        <x:v>tb</x:v>
      </x:c>
      <x:c r="E594" s="4" t="str">
        <x:v>string, input</x:v>
      </x:c>
      <x:c r="F594" s="4" t="str"/>
      <x:c r="G594" s="4" t="str">
        <x:v>Supporting evidence only; map assertions to case IDs before claiming coverage.</x:v>
      </x:c>
      <x:c r="H594" s="25" t="str">
        <x:v>https://github.com/kapiltrip/systemverilog-from-beginning/blob/318bd495dee245f946d7c72127cb698bcf6e6680/SV%20Functional%20Coverage/Codes/18-reusable-covergroup-pass-by-value/testbench.sv</x:v>
      </x:c>
      <x:c r="I594" s="4" t="str">
        <x:v>318bd495dee245f946d7c72127cb698bcf6e6680</x:v>
      </x:c>
    </x:row>
    <x:row r="595" ht="54" customHeight="1">
      <x:c r="A595" s="15" t="str">
        <x:v>systemverilog-from-beginning</x:v>
      </x:c>
      <x:c r="B595" s="15" t="str">
        <x:v>SV Functional Coverage/Codes/19-generic-covergroup-rules/testbench.sv</x:v>
      </x:c>
      <x:c r="C595" s="15" t="str">
        <x:v>Existing testbench</x:v>
      </x:c>
      <x:c r="D595" s="15" t="str">
        <x:v>tb</x:v>
      </x:c>
      <x:c r="E595" s="15" t="str">
        <x:v>int</x:v>
      </x:c>
      <x:c r="F595" s="15" t="str"/>
      <x:c r="G595" s="15" t="str">
        <x:v>Supporting evidence only; map assertions to case IDs before claiming coverage.</x:v>
      </x:c>
      <x:c r="H595" s="26" t="str">
        <x:v>https://github.com/kapiltrip/systemverilog-from-beginning/blob/318bd495dee245f946d7c72127cb698bcf6e6680/SV%20Functional%20Coverage/Codes/19-generic-covergroup-rules/testbench.sv</x:v>
      </x:c>
      <x:c r="I595" s="15" t="str">
        <x:v>318bd495dee245f946d7c72127cb698bcf6e6680</x:v>
      </x:c>
    </x:row>
    <x:row r="596" ht="54" customHeight="1">
      <x:c r="A596" s="4" t="str">
        <x:v>systemverilog-from-beginning</x:v>
      </x:c>
      <x:c r="B596" s="4" t="str">
        <x:v>SV Functional Coverage/Codes/20-reusable-covergroup-alu-use-case/design.sv</x:v>
      </x:c>
      <x:c r="C596" s="4" t="str">
        <x:v>RTL</x:v>
      </x:c>
      <x:c r="D596" s="4" t="str">
        <x:v>aluWorking</x:v>
      </x:c>
      <x:c r="E596" s="4" t="str">
        <x:v>a, b, opcode</x:v>
      </x:c>
      <x:c r="F596" s="4" t="str">
        <x:v>y</x:v>
      </x:c>
      <x:c r="G596" s="4" t="str">
        <x:v>SV-032</x:v>
      </x:c>
      <x:c r="H596" s="25" t="str">
        <x:v>https://github.com/kapiltrip/systemverilog-from-beginning/blob/318bd495dee245f946d7c72127cb698bcf6e6680/SV%20Functional%20Coverage/Codes/20-reusable-covergroup-alu-use-case/design.sv</x:v>
      </x:c>
      <x:c r="I596" s="4" t="str">
        <x:v>318bd495dee245f946d7c72127cb698bcf6e6680</x:v>
      </x:c>
    </x:row>
    <x:row r="597" ht="54" customHeight="1">
      <x:c r="A597" s="15" t="str">
        <x:v>systemverilog-from-beginning</x:v>
      </x:c>
      <x:c r="B597" s="15" t="str">
        <x:v>SV Functional Coverage/Codes/20-reusable-covergroup-alu-use-case/testbench.sv</x:v>
      </x:c>
      <x:c r="C597" s="15" t="str">
        <x:v>Existing testbench</x:v>
      </x:c>
      <x:c r="D597" s="15" t="str">
        <x:v>tb</x:v>
      </x:c>
      <x:c r="E597" s="15" t="str">
        <x:v>string, input</x:v>
      </x:c>
      <x:c r="F597" s="15" t="str"/>
      <x:c r="G597" s="15" t="str">
        <x:v>Supporting evidence only; map assertions to case IDs before claiming coverage.</x:v>
      </x:c>
      <x:c r="H597" s="26" t="str">
        <x:v>https://github.com/kapiltrip/systemverilog-from-beginning/blob/318bd495dee245f946d7c72127cb698bcf6e6680/SV%20Functional%20Coverage/Codes/20-reusable-covergroup-alu-use-case/testbench.sv</x:v>
      </x:c>
      <x:c r="I597" s="15" t="str">
        <x:v>318bd495dee245f946d7c72127cb698bcf6e6680</x:v>
      </x:c>
    </x:row>
    <x:row r="598" ht="54" customHeight="1">
      <x:c r="A598" s="4" t="str">
        <x:v>systemverilog-from-beginning</x:v>
      </x:c>
      <x:c r="B598" s="4" t="str">
        <x:v>SV Functional Coverage/Codes/20-reusable-covergroup-alu-use-case/verified-design.sv</x:v>
      </x:c>
      <x:c r="C598" s="4" t="str">
        <x:v>RTL</x:v>
      </x:c>
      <x:c r="D598" s="4" t="str">
        <x:v>alu_verified</x:v>
      </x:c>
      <x:c r="E598" s="4" t="str">
        <x:v>a, b, opcode</x:v>
      </x:c>
      <x:c r="F598" s="4" t="str">
        <x:v>y</x:v>
      </x:c>
      <x:c r="G598" s="4" t="str">
        <x:v>SV-033</x:v>
      </x:c>
      <x:c r="H598" s="25" t="str">
        <x:v>https://github.com/kapiltrip/systemverilog-from-beginning/blob/318bd495dee245f946d7c72127cb698bcf6e6680/SV%20Functional%20Coverage/Codes/20-reusable-covergroup-alu-use-case/verified-design.sv</x:v>
      </x:c>
      <x:c r="I598" s="4" t="str">
        <x:v>318bd495dee245f946d7c72127cb698bcf6e6680</x:v>
      </x:c>
    </x:row>
    <x:row r="599" ht="54" customHeight="1">
      <x:c r="A599" s="15" t="str">
        <x:v>systemverilog-from-beginning</x:v>
      </x:c>
      <x:c r="B599" s="15" t="str">
        <x:v>SV Functional Coverage/Codes/20-reusable-covergroup-alu-use-case/verified-testbench.sv</x:v>
      </x:c>
      <x:c r="C599" s="15" t="str">
        <x:v>Existing testbench</x:v>
      </x:c>
      <x:c r="D599" s="15" t="str">
        <x:v>tb</x:v>
      </x:c>
      <x:c r="E599" s="15" t="str">
        <x:v>string, int, input, function_a, stimulus_a</x:v>
      </x:c>
      <x:c r="F599" s="15" t="str"/>
      <x:c r="G599" s="15" t="str">
        <x:v>Supporting evidence only; map assertions to case IDs before claiming coverage.</x:v>
      </x:c>
      <x:c r="H599" s="26" t="str">
        <x:v>https://github.com/kapiltrip/systemverilog-from-beginning/blob/318bd495dee245f946d7c72127cb698bcf6e6680/SV%20Functional%20Coverage/Codes/20-reusable-covergroup-alu-use-case/verified-testbench.sv</x:v>
      </x:c>
      <x:c r="I599" s="15" t="str">
        <x:v>318bd495dee245f946d7c72127cb698bcf6e6680</x:v>
      </x:c>
    </x:row>
    <x:row r="600" ht="54" customHeight="1">
      <x:c r="A600" s="4" t="str">
        <x:v>systemverilog-from-beginning</x:v>
      </x:c>
      <x:c r="B600" s="4" t="str">
        <x:v>SV Functional Coverage/Codes/21-reusable-covergroup-memory-range-use-case/testbench.sv</x:v>
      </x:c>
      <x:c r="C600" s="4" t="str">
        <x:v>Existing testbench</x:v>
      </x:c>
      <x:c r="D600" s="4" t="str">
        <x:v>tb</x:v>
      </x:c>
      <x:c r="E600" s="4" t="str">
        <x:v>int, input</x:v>
      </x:c>
      <x:c r="F600" s="4" t="str"/>
      <x:c r="G600" s="4" t="str">
        <x:v>Supporting evidence only; map assertions to case IDs before claiming coverage.</x:v>
      </x:c>
      <x:c r="H600" s="25" t="str">
        <x:v>https://github.com/kapiltrip/systemverilog-from-beginning/blob/318bd495dee245f946d7c72127cb698bcf6e6680/SV%20Functional%20Coverage/Codes/21-reusable-covergroup-memory-range-use-case/testbench.sv</x:v>
      </x:c>
      <x:c r="I600" s="4" t="str">
        <x:v>318bd495dee245f946d7c72127cb698bcf6e6680</x:v>
      </x:c>
    </x:row>
    <x:row r="601" ht="54" customHeight="1">
      <x:c r="A601" s="15" t="str">
        <x:v>systemverilog-from-beginning</x:v>
      </x:c>
      <x:c r="B601" s="15" t="str">
        <x:v>SV Functional Coverage/Codes/22-covergroup-event-sampling/testbench.sv</x:v>
      </x:c>
      <x:c r="C601" s="15" t="str">
        <x:v>Existing testbench</x:v>
      </x:c>
      <x:c r="D601" s="15" t="str">
        <x:v>tb</x:v>
      </x:c>
      <x:c r="E601" s="15" t="str"/>
      <x:c r="F601" s="15" t="str"/>
      <x:c r="G601" s="15" t="str">
        <x:v>Supporting evidence only; map assertions to case IDs before claiming coverage.</x:v>
      </x:c>
      <x:c r="H601" s="26" t="str">
        <x:v>https://github.com/kapiltrip/systemverilog-from-beginning/blob/318bd495dee245f946d7c72127cb698bcf6e6680/SV%20Functional%20Coverage/Codes/22-covergroup-event-sampling/testbench.sv</x:v>
      </x:c>
      <x:c r="I601" s="15" t="str">
        <x:v>318bd495dee245f946d7c72127cb698bcf6e6680</x:v>
      </x:c>
    </x:row>
    <x:row r="602" ht="54" customHeight="1">
      <x:c r="A602" s="4" t="str">
        <x:v>systemverilog-from-beginning</x:v>
      </x:c>
      <x:c r="B602" s="4" t="str">
        <x:v>SV Functional Coverage/Codes/23-manual-prebuilt-sample-method/testbench.sv</x:v>
      </x:c>
      <x:c r="C602" s="4" t="str">
        <x:v>Existing testbench</x:v>
      </x:c>
      <x:c r="D602" s="4" t="str">
        <x:v>tb</x:v>
      </x:c>
      <x:c r="E602" s="4" t="str"/>
      <x:c r="F602" s="4" t="str"/>
      <x:c r="G602" s="4" t="str">
        <x:v>Supporting evidence only; map assertions to case IDs before claiming coverage.</x:v>
      </x:c>
      <x:c r="H602" s="25" t="str">
        <x:v>https://github.com/kapiltrip/systemverilog-from-beginning/blob/318bd495dee245f946d7c72127cb698bcf6e6680/SV%20Functional%20Coverage/Codes/23-manual-prebuilt-sample-method/testbench.sv</x:v>
      </x:c>
      <x:c r="I602" s="4" t="str">
        <x:v>318bd495dee245f946d7c72127cb698bcf6e6680</x:v>
      </x:c>
    </x:row>
    <x:row r="603" ht="54" customHeight="1">
      <x:c r="A603" s="15" t="str">
        <x:v>systemverilog-from-beginning</x:v>
      </x:c>
      <x:c r="B603" s="15" t="str">
        <x:v>SV Functional Coverage/Codes/24-user-defined-sample-in-task/testbench.sv</x:v>
      </x:c>
      <x:c r="C603" s="15" t="str">
        <x:v>Existing testbench</x:v>
      </x:c>
      <x:c r="D603" s="15" t="str">
        <x:v>tb</x:v>
      </x:c>
      <x:c r="E603" s="15" t="str"/>
      <x:c r="F603" s="15" t="str"/>
      <x:c r="G603" s="15" t="str">
        <x:v>Supporting evidence only; map assertions to case IDs before claiming coverage.</x:v>
      </x:c>
      <x:c r="H603" s="26" t="str">
        <x:v>https://github.com/kapiltrip/systemverilog-from-beginning/blob/318bd495dee245f946d7c72127cb698bcf6e6680/SV%20Functional%20Coverage/Codes/24-user-defined-sample-in-task/testbench.sv</x:v>
      </x:c>
      <x:c r="I603" s="15" t="str">
        <x:v>318bd495dee245f946d7c72127cb698bcf6e6680</x:v>
      </x:c>
    </x:row>
    <x:row r="604" ht="54" customHeight="1">
      <x:c r="A604" s="4" t="str">
        <x:v>systemverilog-from-beginning</x:v>
      </x:c>
      <x:c r="B604" s="4" t="str">
        <x:v>SV Functional Coverage/Codes/25-user-defined-sample-in-function/testbench.sv</x:v>
      </x:c>
      <x:c r="C604" s="4" t="str">
        <x:v>Existing testbench</x:v>
      </x:c>
      <x:c r="D604" s="4" t="str">
        <x:v>tb</x:v>
      </x:c>
      <x:c r="E604" s="4" t="str">
        <x:v>rd, input, opstate</x:v>
      </x:c>
      <x:c r="F604" s="4" t="str"/>
      <x:c r="G604" s="4" t="str">
        <x:v>Supporting evidence only; map assertions to case IDs before claiming coverage.</x:v>
      </x:c>
      <x:c r="H604" s="25" t="str">
        <x:v>https://github.com/kapiltrip/systemverilog-from-beginning/blob/318bd495dee245f946d7c72127cb698bcf6e6680/SV%20Functional%20Coverage/Codes/25-user-defined-sample-in-function/testbench.sv</x:v>
      </x:c>
      <x:c r="I604" s="4" t="str">
        <x:v>318bd495dee245f946d7c72127cb698bcf6e6680</x:v>
      </x:c>
    </x:row>
    <x:row r="605" ht="54" customHeight="1">
      <x:c r="A605" s="15" t="str">
        <x:v>systemverilog-from-beginning</x:v>
      </x:c>
      <x:c r="B605" s="15" t="str">
        <x:v>SV Functional Coverage/Codes/26-user-defined-sample-in-property/testbench.sv</x:v>
      </x:c>
      <x:c r="C605" s="15" t="str">
        <x:v>Existing testbench</x:v>
      </x:c>
      <x:c r="D605" s="15" t="str">
        <x:v>tb</x:v>
      </x:c>
      <x:c r="E605" s="15" t="str"/>
      <x:c r="F605" s="15" t="str"/>
      <x:c r="G605" s="15" t="str">
        <x:v>Supporting evidence only; map assertions to case IDs before claiming coverage.</x:v>
      </x:c>
      <x:c r="H605" s="26" t="str">
        <x:v>https://github.com/kapiltrip/systemverilog-from-beginning/blob/318bd495dee245f946d7c72127cb698bcf6e6680/SV%20Functional%20Coverage/Codes/26-user-defined-sample-in-property/testbench.sv</x:v>
      </x:c>
      <x:c r="I605" s="15" t="str">
        <x:v>318bd495dee245f946d7c72127cb698bcf6e6680</x:v>
      </x:c>
    </x:row>
    <x:row r="606" ht="54" customHeight="1">
      <x:c r="A606" s="4" t="str">
        <x:v>systemverilog-from-beginning</x:v>
      </x:c>
      <x:c r="B606" s="4" t="str">
        <x:v>SV Functional Coverage/Codes/27-cross-coverage-fundamentals/testbench.sv</x:v>
      </x:c>
      <x:c r="C606" s="4" t="str">
        <x:v>Existing testbench</x:v>
      </x:c>
      <x:c r="D606" s="4" t="str">
        <x:v>tb</x:v>
      </x:c>
      <x:c r="E606" s="4" t="str"/>
      <x:c r="F606" s="4" t="str"/>
      <x:c r="G606" s="4" t="str">
        <x:v>Supporting evidence only; map assertions to case IDs before claiming coverage.</x:v>
      </x:c>
      <x:c r="H606" s="25" t="str">
        <x:v>https://github.com/kapiltrip/systemverilog-from-beginning/blob/318bd495dee245f946d7c72127cb698bcf6e6680/SV%20Functional%20Coverage/Codes/27-cross-coverage-fundamentals/testbench.sv</x:v>
      </x:c>
      <x:c r="I606" s="4" t="str">
        <x:v>318bd495dee245f946d7c72127cb698bcf6e6680</x:v>
      </x:c>
    </x:row>
    <x:row r="607" ht="54" customHeight="1">
      <x:c r="A607" s="15" t="str">
        <x:v>systemverilog-from-beginning</x:v>
      </x:c>
      <x:c r="B607" s="15" t="str">
        <x:v>SV Functional Coverage/Codes/28-operation-specific-cross-covergroups/testbench.sv</x:v>
      </x:c>
      <x:c r="C607" s="15" t="str">
        <x:v>Existing testbench</x:v>
      </x:c>
      <x:c r="D607" s="15" t="str">
        <x:v>tb</x:v>
      </x:c>
      <x:c r="E607" s="15" t="str"/>
      <x:c r="F607" s="15" t="str"/>
      <x:c r="G607" s="15" t="str">
        <x:v>Supporting evidence only; map assertions to case IDs before claiming coverage.</x:v>
      </x:c>
      <x:c r="H607" s="26" t="str">
        <x:v>https://github.com/kapiltrip/systemverilog-from-beginning/blob/318bd495dee245f946d7c72127cb698bcf6e6680/SV%20Functional%20Coverage/Codes/28-operation-specific-cross-covergroups/testbench.sv</x:v>
      </x:c>
      <x:c r="I607" s="15" t="str">
        <x:v>318bd495dee245f946d7c72127cb698bcf6e6680</x:v>
      </x:c>
    </x:row>
    <x:row r="608" ht="54" customHeight="1">
      <x:c r="A608" s="4" t="str">
        <x:v>systemverilog-from-beginning</x:v>
      </x:c>
      <x:c r="B608" s="4" t="str">
        <x:v>SV Functional Coverage/Codes/29-binsof-intersect-cross-filtering/testbench.sv</x:v>
      </x:c>
      <x:c r="C608" s="4" t="str">
        <x:v>Existing testbench</x:v>
      </x:c>
      <x:c r="D608" s="4" t="str">
        <x:v>tb</x:v>
      </x:c>
      <x:c r="E608" s="4" t="str"/>
      <x:c r="F608" s="4" t="str"/>
      <x:c r="G608" s="4" t="str">
        <x:v>Supporting evidence only; map assertions to case IDs before claiming coverage.</x:v>
      </x:c>
      <x:c r="H608" s="25" t="str">
        <x:v>https://github.com/kapiltrip/systemverilog-from-beginning/blob/318bd495dee245f946d7c72127cb698bcf6e6680/SV%20Functional%20Coverage/Codes/29-binsof-intersect-cross-filtering/testbench.sv</x:v>
      </x:c>
      <x:c r="I608" s="4" t="str">
        <x:v>318bd495dee245f946d7c72127cb698bcf6e6680</x:v>
      </x:c>
    </x:row>
    <x:row r="609" ht="54" customHeight="1">
      <x:c r="A609" s="15" t="str">
        <x:v>systemverilog-from-beginning</x:v>
      </x:c>
      <x:c r="B609" s="15" t="str">
        <x:v>SV Functional Coverage/Codes/30-simple-transition-coverage-p1/design.sv</x:v>
      </x:c>
      <x:c r="C609" s="15" t="str">
        <x:v>RTL</x:v>
      </x:c>
      <x:c r="D609" s="15" t="str">
        <x:v>two_state_fsm</x:v>
      </x:c>
      <x:c r="E609" s="15" t="str">
        <x:v>clk, reset, d</x:v>
      </x:c>
      <x:c r="F609" s="15" t="str">
        <x:v>d_out</x:v>
      </x:c>
      <x:c r="G609" s="15" t="str">
        <x:v>SV-034</x:v>
      </x:c>
      <x:c r="H609" s="26" t="str">
        <x:v>https://github.com/kapiltrip/systemverilog-from-beginning/blob/318bd495dee245f946d7c72127cb698bcf6e6680/SV%20Functional%20Coverage/Codes/30-simple-transition-coverage-p1/design.sv</x:v>
      </x:c>
      <x:c r="I609" s="15" t="str">
        <x:v>318bd495dee245f946d7c72127cb698bcf6e6680</x:v>
      </x:c>
    </x:row>
    <x:row r="610" ht="54" customHeight="1">
      <x:c r="A610" s="4" t="str">
        <x:v>systemverilog-from-beginning</x:v>
      </x:c>
      <x:c r="B610" s="4" t="str">
        <x:v>SV Functional Coverage/Codes/30-simple-transition-coverage-p1/testbench.sv</x:v>
      </x:c>
      <x:c r="C610" s="4" t="str">
        <x:v>Existing testbench</x:v>
      </x:c>
      <x:c r="D610" s="4" t="str">
        <x:v>tb</x:v>
      </x:c>
      <x:c r="E610" s="4" t="str"/>
      <x:c r="F610" s="4" t="str"/>
      <x:c r="G610" s="4" t="str">
        <x:v>Supporting evidence only; map assertions to case IDs before claiming coverage.</x:v>
      </x:c>
      <x:c r="H610" s="25" t="str">
        <x:v>https://github.com/kapiltrip/systemverilog-from-beginning/blob/318bd495dee245f946d7c72127cb698bcf6e6680/SV%20Functional%20Coverage/Codes/30-simple-transition-coverage-p1/testbench.sv</x:v>
      </x:c>
      <x:c r="I610" s="4" t="str">
        <x:v>318bd495dee245f946d7c72127cb698bcf6e6680</x:v>
      </x:c>
    </x:row>
    <x:row r="611" ht="54" customHeight="1">
      <x:c r="A611" s="15" t="str">
        <x:v>systemverilog-from-beginning</x:v>
      </x:c>
      <x:c r="B611" s="15" t="str">
        <x:v>SV Functional Coverage/Codes/31-simple-transition-coverage-p2/design.sv</x:v>
      </x:c>
      <x:c r="C611" s="15" t="str">
        <x:v>RTL</x:v>
      </x:c>
      <x:c r="D611" s="15" t="str">
        <x:v>two_state_fsm</x:v>
      </x:c>
      <x:c r="E611" s="15" t="str">
        <x:v>clk, reset, d</x:v>
      </x:c>
      <x:c r="F611" s="15" t="str">
        <x:v>d_out</x:v>
      </x:c>
      <x:c r="G611" s="15" t="str">
        <x:v>SV-035</x:v>
      </x:c>
      <x:c r="H611" s="26" t="str">
        <x:v>https://github.com/kapiltrip/systemverilog-from-beginning/blob/318bd495dee245f946d7c72127cb698bcf6e6680/SV%20Functional%20Coverage/Codes/31-simple-transition-coverage-p2/design.sv</x:v>
      </x:c>
      <x:c r="I611" s="15" t="str">
        <x:v>318bd495dee245f946d7c72127cb698bcf6e6680</x:v>
      </x:c>
    </x:row>
    <x:row r="612" ht="54" customHeight="1">
      <x:c r="A612" s="4" t="str">
        <x:v>systemverilog-from-beginning</x:v>
      </x:c>
      <x:c r="B612" s="4" t="str">
        <x:v>SV Functional Coverage/Codes/31-simple-transition-coverage-p2/testbench.sv</x:v>
      </x:c>
      <x:c r="C612" s="4" t="str">
        <x:v>Existing testbench</x:v>
      </x:c>
      <x:c r="D612" s="4" t="str">
        <x:v>tb</x:v>
      </x:c>
      <x:c r="E612" s="4" t="str"/>
      <x:c r="F612" s="4" t="str"/>
      <x:c r="G612" s="4" t="str">
        <x:v>Supporting evidence only; map assertions to case IDs before claiming coverage.</x:v>
      </x:c>
      <x:c r="H612" s="25" t="str">
        <x:v>https://github.com/kapiltrip/systemverilog-from-beginning/blob/318bd495dee245f946d7c72127cb698bcf6e6680/SV%20Functional%20Coverage/Codes/31-simple-transition-coverage-p2/testbench.sv</x:v>
      </x:c>
      <x:c r="I612" s="4" t="str">
        <x:v>318bd495dee245f946d7c72127cb698bcf6e6680</x:v>
      </x:c>
    </x:row>
    <x:row r="613" ht="54" customHeight="1">
      <x:c r="A613" s="15" t="str">
        <x:v>systemverilog-from-beginning</x:v>
      </x:c>
      <x:c r="B613" s="15" t="str">
        <x:v>SV Functional Coverage/Codes/32-consecutive-repetition-transition/testbench.sv</x:v>
      </x:c>
      <x:c r="C613" s="15" t="str">
        <x:v>Existing testbench</x:v>
      </x:c>
      <x:c r="D613" s="15" t="str">
        <x:v>tb</x:v>
      </x:c>
      <x:c r="E613" s="15" t="str"/>
      <x:c r="F613" s="15" t="str"/>
      <x:c r="G613" s="15" t="str">
        <x:v>Supporting evidence only; map assertions to case IDs before claiming coverage.</x:v>
      </x:c>
      <x:c r="H613" s="26" t="str">
        <x:v>https://github.com/kapiltrip/systemverilog-from-beginning/blob/318bd495dee245f946d7c72127cb698bcf6e6680/SV%20Functional%20Coverage/Codes/32-consecutive-repetition-transition/testbench.sv</x:v>
      </x:c>
      <x:c r="I613" s="15" t="str">
        <x:v>318bd495dee245f946d7c72127cb698bcf6e6680</x:v>
      </x:c>
    </x:row>
    <x:row r="614" ht="54" customHeight="1">
      <x:c r="A614" s="4" t="str">
        <x:v>systemverilog-from-beginning</x:v>
      </x:c>
      <x:c r="B614" s="4" t="str">
        <x:v>SV Functional Coverage/Codes/33-nonconsecutive-and-goto-transition/testbench.sv</x:v>
      </x:c>
      <x:c r="C614" s="4" t="str">
        <x:v>Existing testbench</x:v>
      </x:c>
      <x:c r="D614" s="4" t="str">
        <x:v>tb</x:v>
      </x:c>
      <x:c r="E614" s="4" t="str"/>
      <x:c r="F614" s="4" t="str"/>
      <x:c r="G614" s="4" t="str">
        <x:v>Supporting evidence only; map assertions to case IDs before claiming coverage.</x:v>
      </x:c>
      <x:c r="H614" s="25" t="str">
        <x:v>https://github.com/kapiltrip/systemverilog-from-beginning/blob/318bd495dee245f946d7c72127cb698bcf6e6680/SV%20Functional%20Coverage/Codes/33-nonconsecutive-and-goto-transition/testbench.sv</x:v>
      </x:c>
      <x:c r="I614" s="4" t="str">
        <x:v>318bd495dee245f946d7c72127cb698bcf6e6680</x:v>
      </x:c>
    </x:row>
    <x:row r="615" ht="54" customHeight="1">
      <x:c r="A615" s="15" t="str">
        <x:v>systemverilog-from-beginning</x:v>
      </x:c>
      <x:c r="B615" s="15" t="str">
        <x:v>SV Functional Coverage/Projects/01-fifo-functional-coverage/design.sv</x:v>
      </x:c>
      <x:c r="C615" s="15" t="str">
        <x:v>RTL</x:v>
      </x:c>
      <x:c r="D615" s="15" t="str">
        <x:v>sync_fifo</x:v>
      </x:c>
      <x:c r="E615" s="15" t="str">
        <x:v>clk, rst, wr_en, rd_en, din</x:v>
      </x:c>
      <x:c r="F615" s="15" t="str">
        <x:v>dout, full, empty</x:v>
      </x:c>
      <x:c r="G615" s="15" t="str">
        <x:v>SV-001, SV-002, SV-003, SV-004, SV-005, SV-006, SV-007, SV-008, SV-009, SV-010, SV-011, SV-012</x:v>
      </x:c>
      <x:c r="H615" s="26" t="str">
        <x:v>https://github.com/kapiltrip/systemverilog-from-beginning/blob/318bd495dee245f946d7c72127cb698bcf6e6680/SV%20Functional%20Coverage/Projects/01-fifo-functional-coverage/design.sv</x:v>
      </x:c>
      <x:c r="I615" s="15" t="str">
        <x:v>318bd495dee245f946d7c72127cb698bcf6e6680</x:v>
      </x:c>
    </x:row>
    <x:row r="616" ht="54" customHeight="1">
      <x:c r="A616" s="4" t="str">
        <x:v>systemverilog-from-beginning</x:v>
      </x:c>
      <x:c r="B616" s="4" t="str">
        <x:v>SV Functional Coverage/Projects/01-fifo-functional-coverage/testbench.sv</x:v>
      </x:c>
      <x:c r="C616" s="4" t="str">
        <x:v>Existing testbench</x:v>
      </x:c>
      <x:c r="D616" s="4" t="str">
        <x:v>tb</x:v>
      </x:c>
      <x:c r="E616" s="4" t="str"/>
      <x:c r="F616" s="4" t="str"/>
      <x:c r="G616" s="4" t="str">
        <x:v>Supporting evidence only; map assertions to case IDs before claiming coverage.</x:v>
      </x:c>
      <x:c r="H616" s="25" t="str">
        <x:v>https://github.com/kapiltrip/systemverilog-from-beginning/blob/318bd495dee245f946d7c72127cb698bcf6e6680/SV%20Functional%20Coverage/Projects/01-fifo-functional-coverage/testbench.sv</x:v>
      </x:c>
      <x:c r="I616" s="4" t="str">
        <x:v>318bd495dee245f946d7c72127cb698bcf6e6680</x:v>
      </x:c>
    </x:row>
    <x:row r="617" ht="54" customHeight="1">
      <x:c r="A617" s="15" t="str">
        <x:v>systemverilog-from-beginning</x:v>
      </x:c>
      <x:c r="B617" s="15" t="str">
        <x:v>SV Functional Coverage/Projects/02-counter-functional-coverage/design.sv</x:v>
      </x:c>
      <x:c r="C617" s="15" t="str">
        <x:v>RTL</x:v>
      </x:c>
      <x:c r="D617" s="15" t="str">
        <x:v>counter</x:v>
      </x:c>
      <x:c r="E617" s="15" t="str">
        <x:v>clk, rst, up, load, loadIn, x</x:v>
      </x:c>
      <x:c r="F617" s="15" t="str">
        <x:v>y</x:v>
      </x:c>
      <x:c r="G617" s="15" t="str">
        <x:v>SV-013</x:v>
      </x:c>
      <x:c r="H617" s="26" t="str">
        <x:v>https://github.com/kapiltrip/systemverilog-from-beginning/blob/318bd495dee245f946d7c72127cb698bcf6e6680/SV%20Functional%20Coverage/Projects/02-counter-functional-coverage/design.sv</x:v>
      </x:c>
      <x:c r="I617" s="15" t="str">
        <x:v>318bd495dee245f946d7c72127cb698bcf6e6680</x:v>
      </x:c>
    </x:row>
    <x:row r="618" ht="54" customHeight="1">
      <x:c r="A618" s="4" t="str">
        <x:v>systemverilog-from-beginning</x:v>
      </x:c>
      <x:c r="B618" s="4" t="str">
        <x:v>SV Functional Coverage/Projects/02-counter-functional-coverage/testbench.sv</x:v>
      </x:c>
      <x:c r="C618" s="4" t="str">
        <x:v>Existing testbench</x:v>
      </x:c>
      <x:c r="D618" s="4" t="str">
        <x:v>tb</x:v>
      </x:c>
      <x:c r="E618" s="4" t="str"/>
      <x:c r="F618" s="4" t="str"/>
      <x:c r="G618" s="4" t="str">
        <x:v>Supporting evidence only; map assertions to case IDs before claiming coverage.</x:v>
      </x:c>
      <x:c r="H618" s="25" t="str">
        <x:v>https://github.com/kapiltrip/systemverilog-from-beginning/blob/318bd495dee245f946d7c72127cb698bcf6e6680/SV%20Functional%20Coverage/Projects/02-counter-functional-coverage/testbench.sv</x:v>
      </x:c>
      <x:c r="I618" s="4" t="str">
        <x:v>318bd495dee245f946d7c72127cb698bcf6e6680</x:v>
      </x:c>
    </x:row>
    <x:row r="619" ht="54" customHeight="1">
      <x:c r="A619" s="15" t="str">
        <x:v>systemverilog-from-beginning</x:v>
      </x:c>
      <x:c r="B619" s="15" t="str">
        <x:v>SV Functional Coverage/Projects/03-mux-8-to-1-functional-coverage/design.sv</x:v>
      </x:c>
      <x:c r="C619" s="15" t="str">
        <x:v>RTL</x:v>
      </x:c>
      <x:c r="D619" s="15" t="str">
        <x:v>mux</x:v>
      </x:c>
      <x:c r="E619" s="15" t="str">
        <x:v>a, b, c, d, e, f, g, h, sel</x:v>
      </x:c>
      <x:c r="F619" s="15" t="str">
        <x:v>y</x:v>
      </x:c>
      <x:c r="G619" s="15" t="str">
        <x:v>SV-036</x:v>
      </x:c>
      <x:c r="H619" s="26" t="str">
        <x:v>https://github.com/kapiltrip/systemverilog-from-beginning/blob/318bd495dee245f946d7c72127cb698bcf6e6680/SV%20Functional%20Coverage/Projects/03-mux-8-to-1-functional-coverage/design.sv</x:v>
      </x:c>
      <x:c r="I619" s="15" t="str">
        <x:v>318bd495dee245f946d7c72127cb698bcf6e6680</x:v>
      </x:c>
    </x:row>
    <x:row r="620" ht="54" customHeight="1">
      <x:c r="A620" s="4" t="str">
        <x:v>systemverilog-from-beginning</x:v>
      </x:c>
      <x:c r="B620" s="4" t="str">
        <x:v>SV Functional Coverage/Projects/03-mux-8-to-1-functional-coverage/testbench.sv</x:v>
      </x:c>
      <x:c r="C620" s="4" t="str">
        <x:v>Existing testbench</x:v>
      </x:c>
      <x:c r="D620" s="4" t="str">
        <x:v>tb</x:v>
      </x:c>
      <x:c r="E620" s="4" t="str"/>
      <x:c r="F620" s="4" t="str"/>
      <x:c r="G620" s="4" t="str">
        <x:v>Supporting evidence only; map assertions to case IDs before claiming coverage.</x:v>
      </x:c>
      <x:c r="H620" s="25" t="str">
        <x:v>https://github.com/kapiltrip/systemverilog-from-beginning/blob/318bd495dee245f946d7c72127cb698bcf6e6680/SV%20Functional%20Coverage/Projects/03-mux-8-to-1-functional-coverage/testbench.sv</x:v>
      </x:c>
      <x:c r="I620" s="4" t="str">
        <x:v>318bd495dee245f946d7c72127cb698bcf6e6680</x:v>
      </x:c>
    </x:row>
    <x:row r="621" ht="54" customHeight="1">
      <x:c r="A621" s="15" t="str">
        <x:v>systemverilog-from-beginning</x:v>
      </x:c>
      <x:c r="B621" s="15" t="str">
        <x:v>SV Functional Coverage/Projects/04-priority-encoder-functional-coverage/design.sv</x:v>
      </x:c>
      <x:c r="C621" s="15" t="str">
        <x:v>RTL</x:v>
      </x:c>
      <x:c r="D621" s="15" t="str">
        <x:v>penc</x:v>
      </x:c>
      <x:c r="E621" s="15" t="str">
        <x:v>x</x:v>
      </x:c>
      <x:c r="F621" s="15" t="str">
        <x:v>y</x:v>
      </x:c>
      <x:c r="G621" s="15" t="str">
        <x:v>SV-014</x:v>
      </x:c>
      <x:c r="H621" s="26" t="str">
        <x:v>https://github.com/kapiltrip/systemverilog-from-beginning/blob/318bd495dee245f946d7c72127cb698bcf6e6680/SV%20Functional%20Coverage/Projects/04-priority-encoder-functional-coverage/design.sv</x:v>
      </x:c>
      <x:c r="I621" s="15" t="str">
        <x:v>318bd495dee245f946d7c72127cb698bcf6e6680</x:v>
      </x:c>
    </x:row>
    <x:row r="622" ht="54" customHeight="1">
      <x:c r="A622" s="4" t="str">
        <x:v>systemverilog-from-beginning</x:v>
      </x:c>
      <x:c r="B622" s="4" t="str">
        <x:v>SV Functional Coverage/Projects/04-priority-encoder-functional-coverage/testbench.sv</x:v>
      </x:c>
      <x:c r="C622" s="4" t="str">
        <x:v>Existing testbench</x:v>
      </x:c>
      <x:c r="D622" s="4" t="str">
        <x:v>tb</x:v>
      </x:c>
      <x:c r="E622" s="4" t="str"/>
      <x:c r="F622" s="4" t="str"/>
      <x:c r="G622" s="4" t="str">
        <x:v>Supporting evidence only; map assertions to case IDs before claiming coverage.</x:v>
      </x:c>
      <x:c r="H622" s="25" t="str">
        <x:v>https://github.com/kapiltrip/systemverilog-from-beginning/blob/318bd495dee245f946d7c72127cb698bcf6e6680/SV%20Functional%20Coverage/Projects/04-priority-encoder-functional-coverage/testbench.sv</x:v>
      </x:c>
      <x:c r="I622" s="4" t="str">
        <x:v>318bd495dee245f946d7c72127cb698bcf6e6680</x:v>
      </x:c>
    </x:row>
    <x:row r="623" ht="54" customHeight="1">
      <x:c r="A623" s="15" t="str">
        <x:v>systemverilog-from-beginning</x:v>
      </x:c>
      <x:c r="B623" s="15" t="str">
        <x:v>SV Functional Coverage/Projects/05-spi-transition-coverage/design.sv</x:v>
      </x:c>
      <x:c r="C623" s="15" t="str">
        <x:v>RTL</x:v>
      </x:c>
      <x:c r="D623" s="15" t="str">
        <x:v>dac</x:v>
      </x:c>
      <x:c r="E623" s="15" t="str">
        <x:v>clk, din, start</x:v>
      </x:c>
      <x:c r="F623" s="15" t="str">
        <x:v>mosi, cs</x:v>
      </x:c>
      <x:c r="G623" s="15" t="str">
        <x:v>SV-015</x:v>
      </x:c>
      <x:c r="H623" s="26" t="str">
        <x:v>https://github.com/kapiltrip/systemverilog-from-beginning/blob/318bd495dee245f946d7c72127cb698bcf6e6680/SV%20Functional%20Coverage/Projects/05-spi-transition-coverage/design.sv</x:v>
      </x:c>
      <x:c r="I623" s="15" t="str">
        <x:v>318bd495dee245f946d7c72127cb698bcf6e6680</x:v>
      </x:c>
    </x:row>
    <x:row r="624" ht="54" customHeight="1">
      <x:c r="A624" s="4" t="str">
        <x:v>systemverilog-from-beginning</x:v>
      </x:c>
      <x:c r="B624" s="4" t="str">
        <x:v>SV Functional Coverage/Projects/05-spi-transition-coverage/testbench.sv</x:v>
      </x:c>
      <x:c r="C624" s="4" t="str">
        <x:v>Existing testbench</x:v>
      </x:c>
      <x:c r="D624" s="4" t="str">
        <x:v>tb</x:v>
      </x:c>
      <x:c r="E624" s="4" t="str"/>
      <x:c r="F624" s="4" t="str"/>
      <x:c r="G624" s="4" t="str">
        <x:v>Supporting evidence only; map assertions to case IDs before claiming coverage.</x:v>
      </x:c>
      <x:c r="H624" s="25" t="str">
        <x:v>https://github.com/kapiltrip/systemverilog-from-beginning/blob/318bd495dee245f946d7c72127cb698bcf6e6680/SV%20Functional%20Coverage/Projects/05-spi-transition-coverage/testbench.sv</x:v>
      </x:c>
      <x:c r="I624" s="4" t="str">
        <x:v>318bd495dee245f946d7c72127cb698bcf6e6680</x:v>
      </x:c>
    </x:row>
    <x:row r="625" ht="54" customHeight="1">
      <x:c r="A625" s="15" t="str">
        <x:v>systemverilog-from-beginning</x:v>
      </x:c>
      <x:c r="B625" s="15" t="str">
        <x:v>SV Functional Coverage/plates/section-10-projects/130-mux-8-to-1-p1/design.sv</x:v>
      </x:c>
      <x:c r="C625" s="15" t="str">
        <x:v>RTL</x:v>
      </x:c>
      <x:c r="D625" s="15" t="str">
        <x:v>mux8to1</x:v>
      </x:c>
      <x:c r="E625" s="15" t="str">
        <x:v>data, select</x:v>
      </x:c>
      <x:c r="F625" s="15" t="str">
        <x:v>y</x:v>
      </x:c>
      <x:c r="G625" s="15" t="str">
        <x:v>SV-037</x:v>
      </x:c>
      <x:c r="H625" s="26" t="str">
        <x:v>https://github.com/kapiltrip/systemverilog-from-beginning/blob/318bd495dee245f946d7c72127cb698bcf6e6680/SV%20Functional%20Coverage/plates/section-10-projects/130-mux-8-to-1-p1/design.sv</x:v>
      </x:c>
      <x:c r="I625" s="15" t="str">
        <x:v>318bd495dee245f946d7c72127cb698bcf6e6680</x:v>
      </x:c>
    </x:row>
    <x:row r="626" ht="54" customHeight="1">
      <x:c r="A626" s="4" t="str">
        <x:v>systemverilog-from-beginning</x:v>
      </x:c>
      <x:c r="B626" s="4" t="str">
        <x:v>SV Functional Coverage/plates/section-10-projects/130-mux-8-to-1-p1/testbench.sv</x:v>
      </x:c>
      <x:c r="C626" s="4" t="str">
        <x:v>Existing testbench</x:v>
      </x:c>
      <x:c r="D626" s="4" t="str">
        <x:v>tb</x:v>
      </x:c>
      <x:c r="E626" s="4" t="str"/>
      <x:c r="F626" s="4" t="str"/>
      <x:c r="G626" s="4" t="str">
        <x:v>Supporting evidence only; map assertions to case IDs before claiming coverage.</x:v>
      </x:c>
      <x:c r="H626" s="25" t="str">
        <x:v>https://github.com/kapiltrip/systemverilog-from-beginning/blob/318bd495dee245f946d7c72127cb698bcf6e6680/SV%20Functional%20Coverage/plates/section-10-projects/130-mux-8-to-1-p1/testbench.sv</x:v>
      </x:c>
      <x:c r="I626" s="4" t="str">
        <x:v>318bd495dee245f946d7c72127cb698bcf6e6680</x:v>
      </x:c>
    </x:row>
    <x:row r="627" ht="54" customHeight="1">
      <x:c r="A627" s="15" t="str">
        <x:v>systemverilog-from-beginning</x:v>
      </x:c>
      <x:c r="B627" s="15" t="str">
        <x:v>SV Functional Coverage/plates/section-10-projects/131-mux-8-to-1-p2/design.sv</x:v>
      </x:c>
      <x:c r="C627" s="15" t="str">
        <x:v>RTL</x:v>
      </x:c>
      <x:c r="D627" s="15" t="str">
        <x:v>mux8to1</x:v>
      </x:c>
      <x:c r="E627" s="15" t="str">
        <x:v>data, select</x:v>
      </x:c>
      <x:c r="F627" s="15" t="str">
        <x:v>y</x:v>
      </x:c>
      <x:c r="G627" s="15" t="str">
        <x:v>SV-038</x:v>
      </x:c>
      <x:c r="H627" s="26" t="str">
        <x:v>https://github.com/kapiltrip/systemverilog-from-beginning/blob/318bd495dee245f946d7c72127cb698bcf6e6680/SV%20Functional%20Coverage/plates/section-10-projects/131-mux-8-to-1-p2/design.sv</x:v>
      </x:c>
      <x:c r="I627" s="15" t="str">
        <x:v>318bd495dee245f946d7c72127cb698bcf6e6680</x:v>
      </x:c>
    </x:row>
    <x:row r="628" ht="54" customHeight="1">
      <x:c r="A628" s="4" t="str">
        <x:v>systemverilog-from-beginning</x:v>
      </x:c>
      <x:c r="B628" s="4" t="str">
        <x:v>SV Functional Coverage/plates/section-10-projects/131-mux-8-to-1-p2/testbench.sv</x:v>
      </x:c>
      <x:c r="C628" s="4" t="str">
        <x:v>Existing testbench</x:v>
      </x:c>
      <x:c r="D628" s="4" t="str">
        <x:v>tb</x:v>
      </x:c>
      <x:c r="E628" s="4" t="str"/>
      <x:c r="F628" s="4" t="str"/>
      <x:c r="G628" s="4" t="str">
        <x:v>Supporting evidence only; map assertions to case IDs before claiming coverage.</x:v>
      </x:c>
      <x:c r="H628" s="25" t="str">
        <x:v>https://github.com/kapiltrip/systemverilog-from-beginning/blob/318bd495dee245f946d7c72127cb698bcf6e6680/SV%20Functional%20Coverage/plates/section-10-projects/131-mux-8-to-1-p2/testbench.sv</x:v>
      </x:c>
      <x:c r="I628" s="4" t="str">
        <x:v>318bd495dee245f946d7c72127cb698bcf6e6680</x:v>
      </x:c>
    </x:row>
    <x:row r="629" ht="54" customHeight="1">
      <x:c r="A629" s="15" t="str">
        <x:v>systemverilog-from-beginning</x:v>
      </x:c>
      <x:c r="B629" s="15" t="str">
        <x:v>SV Functional Coverage/plates/section-10-projects/132-mux-8-to-1-p3/design.sv</x:v>
      </x:c>
      <x:c r="C629" s="15" t="str">
        <x:v>RTL</x:v>
      </x:c>
      <x:c r="D629" s="15" t="str">
        <x:v>mux8to1</x:v>
      </x:c>
      <x:c r="E629" s="15" t="str">
        <x:v>data, select</x:v>
      </x:c>
      <x:c r="F629" s="15" t="str">
        <x:v>y</x:v>
      </x:c>
      <x:c r="G629" s="15" t="str">
        <x:v>SV-039</x:v>
      </x:c>
      <x:c r="H629" s="26" t="str">
        <x:v>https://github.com/kapiltrip/systemverilog-from-beginning/blob/318bd495dee245f946d7c72127cb698bcf6e6680/SV%20Functional%20Coverage/plates/section-10-projects/132-mux-8-to-1-p3/design.sv</x:v>
      </x:c>
      <x:c r="I629" s="15" t="str">
        <x:v>318bd495dee245f946d7c72127cb698bcf6e6680</x:v>
      </x:c>
    </x:row>
    <x:row r="630" ht="54" customHeight="1">
      <x:c r="A630" s="4" t="str">
        <x:v>systemverilog-from-beginning</x:v>
      </x:c>
      <x:c r="B630" s="4" t="str">
        <x:v>SV Functional Coverage/plates/section-10-projects/132-mux-8-to-1-p3/testbench.sv</x:v>
      </x:c>
      <x:c r="C630" s="4" t="str">
        <x:v>Existing testbench</x:v>
      </x:c>
      <x:c r="D630" s="4" t="str">
        <x:v>tb</x:v>
      </x:c>
      <x:c r="E630" s="4" t="str"/>
      <x:c r="F630" s="4" t="str"/>
      <x:c r="G630" s="4" t="str">
        <x:v>Supporting evidence only; map assertions to case IDs before claiming coverage.</x:v>
      </x:c>
      <x:c r="H630" s="25" t="str">
        <x:v>https://github.com/kapiltrip/systemverilog-from-beginning/blob/318bd495dee245f946d7c72127cb698bcf6e6680/SV%20Functional%20Coverage/plates/section-10-projects/132-mux-8-to-1-p3/testbench.sv</x:v>
      </x:c>
      <x:c r="I630" s="4" t="str">
        <x:v>318bd495dee245f946d7c72127cb698bcf6e6680</x:v>
      </x:c>
    </x:row>
    <x:row r="631" ht="54" customHeight="1">
      <x:c r="A631" s="15" t="str">
        <x:v>systemverilog-from-beginning</x:v>
      </x:c>
      <x:c r="B631" s="15" t="str">
        <x:v>SV Functional Coverage/plates/section-10-projects/134-priority-encoder/design.sv</x:v>
      </x:c>
      <x:c r="C631" s="15" t="str">
        <x:v>RTL</x:v>
      </x:c>
      <x:c r="D631" s="15" t="str">
        <x:v>priority_encoder</x:v>
      </x:c>
      <x:c r="E631" s="15" t="str">
        <x:v>request</x:v>
      </x:c>
      <x:c r="F631" s="15" t="str">
        <x:v>code, valid</x:v>
      </x:c>
      <x:c r="G631" s="15" t="str">
        <x:v>SV-040</x:v>
      </x:c>
      <x:c r="H631" s="26" t="str">
        <x:v>https://github.com/kapiltrip/systemverilog-from-beginning/blob/318bd495dee245f946d7c72127cb698bcf6e6680/SV%20Functional%20Coverage/plates/section-10-projects/134-priority-encoder/design.sv</x:v>
      </x:c>
      <x:c r="I631" s="15" t="str">
        <x:v>318bd495dee245f946d7c72127cb698bcf6e6680</x:v>
      </x:c>
    </x:row>
    <x:row r="632" ht="54" customHeight="1">
      <x:c r="A632" s="4" t="str">
        <x:v>systemverilog-from-beginning</x:v>
      </x:c>
      <x:c r="B632" s="4" t="str">
        <x:v>SV Functional Coverage/plates/section-10-projects/134-priority-encoder/testbench.sv</x:v>
      </x:c>
      <x:c r="C632" s="4" t="str">
        <x:v>Existing testbench</x:v>
      </x:c>
      <x:c r="D632" s="4" t="str">
        <x:v>tb</x:v>
      </x:c>
      <x:c r="E632" s="4" t="str"/>
      <x:c r="F632" s="4" t="str"/>
      <x:c r="G632" s="4" t="str">
        <x:v>Supporting evidence only; map assertions to case IDs before claiming coverage.</x:v>
      </x:c>
      <x:c r="H632" s="25" t="str">
        <x:v>https://github.com/kapiltrip/systemverilog-from-beginning/blob/318bd495dee245f946d7c72127cb698bcf6e6680/SV%20Functional%20Coverage/plates/section-10-projects/134-priority-encoder/testbench.sv</x:v>
      </x:c>
      <x:c r="I632" s="4" t="str">
        <x:v>318bd495dee245f946d7c72127cb698bcf6e6680</x:v>
      </x:c>
    </x:row>
    <x:row r="633" ht="54" customHeight="1">
      <x:c r="A633" s="15" t="str">
        <x:v>systemverilog-from-beginning</x:v>
      </x:c>
      <x:c r="B633" s="15" t="str">
        <x:v>SV Functional Coverage/plates/section-10-projects/136-fifo-p1/design.sv</x:v>
      </x:c>
      <x:c r="C633" s="15" t="str">
        <x:v>RTL</x:v>
      </x:c>
      <x:c r="D633" s="15" t="str">
        <x:v>sync_fifo</x:v>
      </x:c>
      <x:c r="E633" s="15" t="str">
        <x:v>clk, reset, write_enable, read_enable, data_in</x:v>
      </x:c>
      <x:c r="F633" s="15" t="str">
        <x:v>data_out, full, empty</x:v>
      </x:c>
      <x:c r="G633" s="15" t="str">
        <x:v>SV-041</x:v>
      </x:c>
      <x:c r="H633" s="26" t="str">
        <x:v>https://github.com/kapiltrip/systemverilog-from-beginning/blob/318bd495dee245f946d7c72127cb698bcf6e6680/SV%20Functional%20Coverage/plates/section-10-projects/136-fifo-p1/design.sv</x:v>
      </x:c>
      <x:c r="I633" s="15" t="str">
        <x:v>318bd495dee245f946d7c72127cb698bcf6e6680</x:v>
      </x:c>
    </x:row>
    <x:row r="634" ht="54" customHeight="1">
      <x:c r="A634" s="4" t="str">
        <x:v>systemverilog-from-beginning</x:v>
      </x:c>
      <x:c r="B634" s="4" t="str">
        <x:v>SV Functional Coverage/plates/section-10-projects/136-fifo-p1/testbench.sv</x:v>
      </x:c>
      <x:c r="C634" s="4" t="str">
        <x:v>Existing testbench</x:v>
      </x:c>
      <x:c r="D634" s="4" t="str">
        <x:v>tb</x:v>
      </x:c>
      <x:c r="E634" s="4" t="str"/>
      <x:c r="F634" s="4" t="str"/>
      <x:c r="G634" s="4" t="str">
        <x:v>Supporting evidence only; map assertions to case IDs before claiming coverage.</x:v>
      </x:c>
      <x:c r="H634" s="25" t="str">
        <x:v>https://github.com/kapiltrip/systemverilog-from-beginning/blob/318bd495dee245f946d7c72127cb698bcf6e6680/SV%20Functional%20Coverage/plates/section-10-projects/136-fifo-p1/testbench.sv</x:v>
      </x:c>
      <x:c r="I634" s="4" t="str">
        <x:v>318bd495dee245f946d7c72127cb698bcf6e6680</x:v>
      </x:c>
    </x:row>
    <x:row r="635" ht="54" customHeight="1">
      <x:c r="A635" s="15" t="str">
        <x:v>systemverilog-from-beginning</x:v>
      </x:c>
      <x:c r="B635" s="15" t="str">
        <x:v>SV Functional Coverage/plates/section-10-projects/137-fifo-p2/design.sv</x:v>
      </x:c>
      <x:c r="C635" s="15" t="str">
        <x:v>RTL</x:v>
      </x:c>
      <x:c r="D635" s="15" t="str">
        <x:v>sync_fifo</x:v>
      </x:c>
      <x:c r="E635" s="15" t="str">
        <x:v>clk, reset, write_enable, read_enable, data_in</x:v>
      </x:c>
      <x:c r="F635" s="15" t="str">
        <x:v>data_out, full, empty</x:v>
      </x:c>
      <x:c r="G635" s="15" t="str">
        <x:v>SV-042</x:v>
      </x:c>
      <x:c r="H635" s="26" t="str">
        <x:v>https://github.com/kapiltrip/systemverilog-from-beginning/blob/318bd495dee245f946d7c72127cb698bcf6e6680/SV%20Functional%20Coverage/plates/section-10-projects/137-fifo-p2/design.sv</x:v>
      </x:c>
      <x:c r="I635" s="15" t="str">
        <x:v>318bd495dee245f946d7c72127cb698bcf6e6680</x:v>
      </x:c>
    </x:row>
    <x:row r="636" ht="54" customHeight="1">
      <x:c r="A636" s="4" t="str">
        <x:v>systemverilog-from-beginning</x:v>
      </x:c>
      <x:c r="B636" s="4" t="str">
        <x:v>SV Functional Coverage/plates/section-10-projects/137-fifo-p2/testbench.sv</x:v>
      </x:c>
      <x:c r="C636" s="4" t="str">
        <x:v>Existing testbench</x:v>
      </x:c>
      <x:c r="D636" s="4" t="str">
        <x:v>tb</x:v>
      </x:c>
      <x:c r="E636" s="4" t="str"/>
      <x:c r="F636" s="4" t="str"/>
      <x:c r="G636" s="4" t="str">
        <x:v>Supporting evidence only; map assertions to case IDs before claiming coverage.</x:v>
      </x:c>
      <x:c r="H636" s="25" t="str">
        <x:v>https://github.com/kapiltrip/systemverilog-from-beginning/blob/318bd495dee245f946d7c72127cb698bcf6e6680/SV%20Functional%20Coverage/plates/section-10-projects/137-fifo-p2/testbench.sv</x:v>
      </x:c>
      <x:c r="I636" s="4" t="str">
        <x:v>318bd495dee245f946d7c72127cb698bcf6e6680</x:v>
      </x:c>
    </x:row>
    <x:row r="637" ht="54" customHeight="1">
      <x:c r="A637" s="15" t="str">
        <x:v>systemverilog-from-beginning</x:v>
      </x:c>
      <x:c r="B637" s="15" t="str">
        <x:v>SV Functional Coverage/plates/section-10-projects/138-fifo-p3/design.sv</x:v>
      </x:c>
      <x:c r="C637" s="15" t="str">
        <x:v>RTL</x:v>
      </x:c>
      <x:c r="D637" s="15" t="str">
        <x:v>sync_fifo</x:v>
      </x:c>
      <x:c r="E637" s="15" t="str">
        <x:v>clk, reset, write_enable, read_enable, data_in</x:v>
      </x:c>
      <x:c r="F637" s="15" t="str">
        <x:v>data_out, full, empty</x:v>
      </x:c>
      <x:c r="G637" s="15" t="str">
        <x:v>SV-043</x:v>
      </x:c>
      <x:c r="H637" s="26" t="str">
        <x:v>https://github.com/kapiltrip/systemverilog-from-beginning/blob/318bd495dee245f946d7c72127cb698bcf6e6680/SV%20Functional%20Coverage/plates/section-10-projects/138-fifo-p3/design.sv</x:v>
      </x:c>
      <x:c r="I637" s="15" t="str">
        <x:v>318bd495dee245f946d7c72127cb698bcf6e6680</x:v>
      </x:c>
    </x:row>
    <x:row r="638" ht="54" customHeight="1">
      <x:c r="A638" s="4" t="str">
        <x:v>systemverilog-from-beginning</x:v>
      </x:c>
      <x:c r="B638" s="4" t="str">
        <x:v>SV Functional Coverage/plates/section-10-projects/138-fifo-p3/testbench.sv</x:v>
      </x:c>
      <x:c r="C638" s="4" t="str">
        <x:v>Existing testbench</x:v>
      </x:c>
      <x:c r="D638" s="4" t="str">
        <x:v>tb</x:v>
      </x:c>
      <x:c r="E638" s="4" t="str"/>
      <x:c r="F638" s="4" t="str"/>
      <x:c r="G638" s="4" t="str">
        <x:v>Supporting evidence only; map assertions to case IDs before claiming coverage.</x:v>
      </x:c>
      <x:c r="H638" s="25" t="str">
        <x:v>https://github.com/kapiltrip/systemverilog-from-beginning/blob/318bd495dee245f946d7c72127cb698bcf6e6680/SV%20Functional%20Coverage/plates/section-10-projects/138-fifo-p3/testbench.sv</x:v>
      </x:c>
      <x:c r="I638" s="4" t="str">
        <x:v>318bd495dee245f946d7c72127cb698bcf6e6680</x:v>
      </x:c>
    </x:row>
    <x:row r="639" ht="54" customHeight="1">
      <x:c r="A639" s="15" t="str">
        <x:v>systemverilog-from-beginning</x:v>
      </x:c>
      <x:c r="B639" s="15" t="str">
        <x:v>SV Functional Coverage/plates/section-10-projects/140-spi-transition-bins/design.sv</x:v>
      </x:c>
      <x:c r="C639" s="15" t="str">
        <x:v>RTL</x:v>
      </x:c>
      <x:c r="D639" s="15" t="str">
        <x:v>spi_controller</x:v>
      </x:c>
      <x:c r="E639" s="15" t="str">
        <x:v>clk, reset, start</x:v>
      </x:c>
      <x:c r="F639" s="15" t="str">
        <x:v>state, busy</x:v>
      </x:c>
      <x:c r="G639" s="15" t="str">
        <x:v>SV-044</x:v>
      </x:c>
      <x:c r="H639" s="26" t="str">
        <x:v>https://github.com/kapiltrip/systemverilog-from-beginning/blob/318bd495dee245f946d7c72127cb698bcf6e6680/SV%20Functional%20Coverage/plates/section-10-projects/140-spi-transition-bins/design.sv</x:v>
      </x:c>
      <x:c r="I639" s="15" t="str">
        <x:v>318bd495dee245f946d7c72127cb698bcf6e6680</x:v>
      </x:c>
    </x:row>
    <x:row r="640" ht="54" customHeight="1">
      <x:c r="A640" s="4" t="str">
        <x:v>systemverilog-from-beginning</x:v>
      </x:c>
      <x:c r="B640" s="4" t="str">
        <x:v>SV Functional Coverage/plates/section-10-projects/140-spi-transition-bins/testbench.sv</x:v>
      </x:c>
      <x:c r="C640" s="4" t="str">
        <x:v>Existing testbench</x:v>
      </x:c>
      <x:c r="D640" s="4" t="str">
        <x:v>tb</x:v>
      </x:c>
      <x:c r="E640" s="4" t="str"/>
      <x:c r="F640" s="4" t="str"/>
      <x:c r="G640" s="4" t="str">
        <x:v>Supporting evidence only; map assertions to case IDs before claiming coverage.</x:v>
      </x:c>
      <x:c r="H640" s="25" t="str">
        <x:v>https://github.com/kapiltrip/systemverilog-from-beginning/blob/318bd495dee245f946d7c72127cb698bcf6e6680/SV%20Functional%20Coverage/plates/section-10-projects/140-spi-transition-bins/testbench.sv</x:v>
      </x:c>
      <x:c r="I640" s="4" t="str">
        <x:v>318bd495dee245f946d7c72127cb698bcf6e6680</x:v>
      </x:c>
    </x:row>
    <x:row r="641" ht="54" customHeight="1">
      <x:c r="A641" s="15" t="str">
        <x:v>systemverilog-from-beginning</x:v>
      </x:c>
      <x:c r="B641" s="15" t="str">
        <x:v>SV Functional Coverage/plates/section-10-projects/142-counter-p1/design.sv</x:v>
      </x:c>
      <x:c r="C641" s="15" t="str">
        <x:v>RTL</x:v>
      </x:c>
      <x:c r="D641" s="15" t="str">
        <x:v>counter</x:v>
      </x:c>
      <x:c r="E641" s="15" t="str">
        <x:v>clk, reset, enable, load, load_value</x:v>
      </x:c>
      <x:c r="F641" s="15" t="str">
        <x:v>count</x:v>
      </x:c>
      <x:c r="G641" s="15" t="str">
        <x:v>SV-045</x:v>
      </x:c>
      <x:c r="H641" s="26" t="str">
        <x:v>https://github.com/kapiltrip/systemverilog-from-beginning/blob/318bd495dee245f946d7c72127cb698bcf6e6680/SV%20Functional%20Coverage/plates/section-10-projects/142-counter-p1/design.sv</x:v>
      </x:c>
      <x:c r="I641" s="15" t="str">
        <x:v>318bd495dee245f946d7c72127cb698bcf6e6680</x:v>
      </x:c>
    </x:row>
    <x:row r="642" ht="54" customHeight="1">
      <x:c r="A642" s="4" t="str">
        <x:v>systemverilog-from-beginning</x:v>
      </x:c>
      <x:c r="B642" s="4" t="str">
        <x:v>SV Functional Coverage/plates/section-10-projects/142-counter-p1/testbench.sv</x:v>
      </x:c>
      <x:c r="C642" s="4" t="str">
        <x:v>Existing testbench</x:v>
      </x:c>
      <x:c r="D642" s="4" t="str">
        <x:v>tb</x:v>
      </x:c>
      <x:c r="E642" s="4" t="str"/>
      <x:c r="F642" s="4" t="str"/>
      <x:c r="G642" s="4" t="str">
        <x:v>Supporting evidence only; map assertions to case IDs before claiming coverage.</x:v>
      </x:c>
      <x:c r="H642" s="25" t="str">
        <x:v>https://github.com/kapiltrip/systemverilog-from-beginning/blob/318bd495dee245f946d7c72127cb698bcf6e6680/SV%20Functional%20Coverage/plates/section-10-projects/142-counter-p1/testbench.sv</x:v>
      </x:c>
      <x:c r="I642" s="4" t="str">
        <x:v>318bd495dee245f946d7c72127cb698bcf6e6680</x:v>
      </x:c>
    </x:row>
    <x:row r="643" ht="54" customHeight="1">
      <x:c r="A643" s="15" t="str">
        <x:v>systemverilog-from-beginning</x:v>
      </x:c>
      <x:c r="B643" s="15" t="str">
        <x:v>SV Functional Coverage/plates/section-10-projects/143-counter-p2/design.sv</x:v>
      </x:c>
      <x:c r="C643" s="15" t="str">
        <x:v>RTL</x:v>
      </x:c>
      <x:c r="D643" s="15" t="str">
        <x:v>counter</x:v>
      </x:c>
      <x:c r="E643" s="15" t="str">
        <x:v>clk, reset, enable, load, load_value</x:v>
      </x:c>
      <x:c r="F643" s="15" t="str">
        <x:v>count</x:v>
      </x:c>
      <x:c r="G643" s="15" t="str">
        <x:v>SV-046</x:v>
      </x:c>
      <x:c r="H643" s="26" t="str">
        <x:v>https://github.com/kapiltrip/systemverilog-from-beginning/blob/318bd495dee245f946d7c72127cb698bcf6e6680/SV%20Functional%20Coverage/plates/section-10-projects/143-counter-p2/design.sv</x:v>
      </x:c>
      <x:c r="I643" s="15" t="str">
        <x:v>318bd495dee245f946d7c72127cb698bcf6e6680</x:v>
      </x:c>
    </x:row>
    <x:row r="644" ht="54" customHeight="1">
      <x:c r="A644" s="4" t="str">
        <x:v>systemverilog-from-beginning</x:v>
      </x:c>
      <x:c r="B644" s="4" t="str">
        <x:v>SV Functional Coverage/plates/section-10-projects/143-counter-p2/testbench.sv</x:v>
      </x:c>
      <x:c r="C644" s="4" t="str">
        <x:v>Existing testbench</x:v>
      </x:c>
      <x:c r="D644" s="4" t="str">
        <x:v>tb</x:v>
      </x:c>
      <x:c r="E644" s="4" t="str"/>
      <x:c r="F644" s="4" t="str"/>
      <x:c r="G644" s="4" t="str">
        <x:v>Supporting evidence only; map assertions to case IDs before claiming coverage.</x:v>
      </x:c>
      <x:c r="H644" s="25" t="str">
        <x:v>https://github.com/kapiltrip/systemverilog-from-beginning/blob/318bd495dee245f946d7c72127cb698bcf6e6680/SV%20Functional%20Coverage/plates/section-10-projects/143-counter-p2/testbench.sv</x:v>
      </x:c>
      <x:c r="I644" s="4" t="str">
        <x:v>318bd495dee245f946d7c72127cb698bcf6e6680</x:v>
      </x:c>
    </x:row>
    <x:row r="645" ht="54" customHeight="1">
      <x:c r="A645" s="15" t="str">
        <x:v>systemverilog-from-beginning</x:v>
      </x:c>
      <x:c r="B645" s="15" t="str">
        <x:v>SV Functional Coverage/plates/section-10-projects/144-counter-p3/design.sv</x:v>
      </x:c>
      <x:c r="C645" s="15" t="str">
        <x:v>RTL</x:v>
      </x:c>
      <x:c r="D645" s="15" t="str">
        <x:v>counter</x:v>
      </x:c>
      <x:c r="E645" s="15" t="str">
        <x:v>clk, reset, enable, load, load_value</x:v>
      </x:c>
      <x:c r="F645" s="15" t="str">
        <x:v>count</x:v>
      </x:c>
      <x:c r="G645" s="15" t="str">
        <x:v>SV-047</x:v>
      </x:c>
      <x:c r="H645" s="26" t="str">
        <x:v>https://github.com/kapiltrip/systemverilog-from-beginning/blob/318bd495dee245f946d7c72127cb698bcf6e6680/SV%20Functional%20Coverage/plates/section-10-projects/144-counter-p3/design.sv</x:v>
      </x:c>
      <x:c r="I645" s="15" t="str">
        <x:v>318bd495dee245f946d7c72127cb698bcf6e6680</x:v>
      </x:c>
    </x:row>
    <x:row r="646" ht="54" customHeight="1">
      <x:c r="A646" s="4" t="str">
        <x:v>systemverilog-from-beginning</x:v>
      </x:c>
      <x:c r="B646" s="4" t="str">
        <x:v>SV Functional Coverage/plates/section-10-projects/144-counter-p3/testbench.sv</x:v>
      </x:c>
      <x:c r="C646" s="4" t="str">
        <x:v>Existing testbench</x:v>
      </x:c>
      <x:c r="D646" s="4" t="str">
        <x:v>tb</x:v>
      </x:c>
      <x:c r="E646" s="4" t="str"/>
      <x:c r="F646" s="4" t="str"/>
      <x:c r="G646" s="4" t="str">
        <x:v>Supporting evidence only; map assertions to case IDs before claiming coverage.</x:v>
      </x:c>
      <x:c r="H646" s="25" t="str">
        <x:v>https://github.com/kapiltrip/systemverilog-from-beginning/blob/318bd495dee245f946d7c72127cb698bcf6e6680/SV%20Functional%20Coverage/plates/section-10-projects/144-counter-p3/testbench.sv</x:v>
      </x:c>
      <x:c r="I646" s="4" t="str">
        <x:v>318bd495dee245f946d7c72127cb698bcf6e6680</x:v>
      </x:c>
    </x:row>
    <x:row r="647" ht="54" customHeight="1">
      <x:c r="A647" s="15" t="str">
        <x:v>RevisionAtlas</x:v>
      </x:c>
      <x:c r="B647" s="15" t="str">
        <x:v>FIFO/practice.v</x:v>
      </x:c>
      <x:c r="C647" s="15" t="str">
        <x:v>Verification example</x:v>
      </x:c>
      <x:c r="D647" s="15" t="str">
        <x:v>(incomplete/no module)</x:v>
      </x:c>
      <x:c r="E647" s="15" t="str"/>
      <x:c r="F647" s="15" t="str"/>
      <x:c r="G647" s="15" t="str">
        <x:v>Supporting evidence only; map assertions to case IDs before claiming coverage.</x:v>
      </x:c>
      <x:c r="H647" s="26" t="str">
        <x:v>https://github.com/kapiltrip/RevisionAtlas/blob/2f827008d725333643a78e6c31935ab24cb4e6b7/FIFO/practice.v</x:v>
      </x:c>
      <x:c r="I647" s="15" t="str">
        <x:v>2f827008d725333643a78e6c31935ab24cb4e6b7</x:v>
      </x:c>
    </x:row>
    <x:row r="648" ht="54" customHeight="1">
      <x:c r="A648" s="4" t="str">
        <x:v>RevisionAtlas</x:v>
      </x:c>
      <x:c r="B648" s="4" t="str">
        <x:v>FIFO/sim/fifo_tb.v</x:v>
      </x:c>
      <x:c r="C648" s="4" t="str">
        <x:v>Existing testbench</x:v>
      </x:c>
      <x:c r="D648" s="4" t="str">
        <x:v>fifo_tb</x:v>
      </x:c>
      <x:c r="E648" s="4" t="str"/>
      <x:c r="F648" s="4" t="str"/>
      <x:c r="G648" s="4" t="str">
        <x:v>Supporting evidence only; map assertions to case IDs before claiming coverage.</x:v>
      </x:c>
      <x:c r="H648" s="25" t="str">
        <x:v>https://github.com/kapiltrip/RevisionAtlas/blob/2f827008d725333643a78e6c31935ab24cb4e6b7/FIFO/sim/fifo_tb.v</x:v>
      </x:c>
      <x:c r="I648" s="4" t="str">
        <x:v>2f827008d725333643a78e6c31935ab24cb4e6b7</x:v>
      </x:c>
    </x:row>
    <x:row r="649" ht="54" customHeight="1">
      <x:c r="A649" s="15" t="str">
        <x:v>RevisionAtlas</x:v>
      </x:c>
      <x:c r="B649" s="15" t="str">
        <x:v>FIFO/src/fifo.v</x:v>
      </x:c>
      <x:c r="C649" s="15" t="str">
        <x:v>Empty RTL stub</x:v>
      </x:c>
      <x:c r="D649" s="15" t="str">
        <x:v>fifo</x:v>
      </x:c>
      <x:c r="E649" s="15" t="str"/>
      <x:c r="F649" s="15" t="str"/>
      <x:c r="G649" s="15" t="str">
        <x:v>RA-038</x:v>
      </x:c>
      <x:c r="H649" s="26" t="str">
        <x:v>https://github.com/kapiltrip/RevisionAtlas/blob/2f827008d725333643a78e6c31935ab24cb4e6b7/FIFO/src/fifo.v</x:v>
      </x:c>
      <x:c r="I649" s="15" t="str">
        <x:v>2f827008d725333643a78e6c31935ab24cb4e6b7</x:v>
      </x:c>
    </x:row>
    <x:row r="650" ht="54" customHeight="1">
      <x:c r="A650" s="4" t="str">
        <x:v>RevisionAtlas</x:v>
      </x:c>
      <x:c r="B650" s="4" t="str">
        <x:v>FIFO/vivado/fifo_vivado/fifo_vivado.srcs/sources_1/new/ram.v</x:v>
      </x:c>
      <x:c r="C650" s="4" t="str">
        <x:v>Empty RTL stub</x:v>
      </x:c>
      <x:c r="D650" s="4" t="str">
        <x:v>ram</x:v>
      </x:c>
      <x:c r="E650" s="4" t="str"/>
      <x:c r="F650" s="4" t="str"/>
      <x:c r="G650" s="4" t="str">
        <x:v>RA-039</x:v>
      </x:c>
      <x:c r="H650" s="25" t="str">
        <x:v>https://github.com/kapiltrip/RevisionAtlas/blob/2f827008d725333643a78e6c31935ab24cb4e6b7/FIFO/vivado/fifo_vivado/fifo_vivado.srcs/sources_1/new/ram.v</x:v>
      </x:c>
      <x:c r="I650" s="4" t="str">
        <x:v>2f827008d725333643a78e6c31935ab24cb4e6b7</x:v>
      </x:c>
    </x:row>
    <x:row r="651" ht="54" customHeight="1">
      <x:c r="A651" s="15" t="str">
        <x:v>RevisionAtlas</x:v>
      </x:c>
      <x:c r="B651" s="15" t="str">
        <x:v>Frequency Dividers/examples/counter_75_98.v</x:v>
      </x:c>
      <x:c r="C651" s="15" t="str">
        <x:v>RTL</x:v>
      </x:c>
      <x:c r="D651" s="15" t="str">
        <x:v>counter_75_98</x:v>
      </x:c>
      <x:c r="E651" s="15" t="str">
        <x:v>clk, rst</x:v>
      </x:c>
      <x:c r="F651" s="15" t="str">
        <x:v>count</x:v>
      </x:c>
      <x:c r="G651" s="15" t="str">
        <x:v>RA-040, RA-050</x:v>
      </x:c>
      <x:c r="H651" s="26" t="str">
        <x:v>https://github.com/kapiltrip/RevisionAtlas/blob/2f827008d725333643a78e6c31935ab24cb4e6b7/Frequency%20Dividers/examples/counter_75_98.v</x:v>
      </x:c>
      <x:c r="I651" s="15" t="str">
        <x:v>2f827008d725333643a78e6c31935ab24cb4e6b7</x:v>
      </x:c>
    </x:row>
    <x:row r="652" ht="54" customHeight="1">
      <x:c r="A652" s="4" t="str">
        <x:v>RevisionAtlas</x:v>
      </x:c>
      <x:c r="B652" s="4" t="str">
        <x:v>Programmable Frequency Divider/sim/custom_duty_divider_tb.v</x:v>
      </x:c>
      <x:c r="C652" s="4" t="str">
        <x:v>Existing testbench</x:v>
      </x:c>
      <x:c r="D652" s="4" t="str">
        <x:v>custom_duty_divider_tb</x:v>
      </x:c>
      <x:c r="E652" s="4" t="str">
        <x:v>actual, total_counts, high_counts, case_number</x:v>
      </x:c>
      <x:c r="F652" s="4" t="str"/>
      <x:c r="G652" s="4" t="str">
        <x:v>Supporting evidence only; map assertions to case IDs before claiming coverage.</x:v>
      </x:c>
      <x:c r="H652" s="25" t="str">
        <x:v>https://github.com/kapiltrip/RevisionAtlas/blob/2f827008d725333643a78e6c31935ab24cb4e6b7/Programmable%20Frequency%20Divider/sim/custom_duty_divider_tb.v</x:v>
      </x:c>
      <x:c r="I652" s="4" t="str">
        <x:v>2f827008d725333643a78e6c31935ab24cb4e6b7</x:v>
      </x:c>
    </x:row>
    <x:row r="653" ht="54" customHeight="1">
      <x:c r="A653" s="15" t="str">
        <x:v>RevisionAtlas</x:v>
      </x:c>
      <x:c r="B653" s="15" t="str">
        <x:v>Programmable Frequency Divider/sim/divide_by_2_tb.v</x:v>
      </x:c>
      <x:c r="C653" s="15" t="str">
        <x:v>Existing testbench</x:v>
      </x:c>
      <x:c r="D653" s="15" t="str">
        <x:v>divide_by_2_tb</x:v>
      </x:c>
      <x:c r="E653" s="15" t="str"/>
      <x:c r="F653" s="15" t="str"/>
      <x:c r="G653" s="15" t="str">
        <x:v>Supporting evidence only; map assertions to case IDs before claiming coverage.</x:v>
      </x:c>
      <x:c r="H653" s="26" t="str">
        <x:v>https://github.com/kapiltrip/RevisionAtlas/blob/2f827008d725333643a78e6c31935ab24cb4e6b7/Programmable%20Frequency%20Divider/sim/divide_by_2_tb.v</x:v>
      </x:c>
      <x:c r="I653" s="15" t="str">
        <x:v>2f827008d725333643a78e6c31935ab24cb4e6b7</x:v>
      </x:c>
    </x:row>
    <x:row r="654" ht="54" customHeight="1">
      <x:c r="A654" s="4" t="str">
        <x:v>RevisionAtlas</x:v>
      </x:c>
      <x:c r="B654" s="4" t="str">
        <x:v>Programmable Frequency Divider/sim/divide_by_3_tb.v</x:v>
      </x:c>
      <x:c r="C654" s="4" t="str">
        <x:v>Existing testbench</x:v>
      </x:c>
      <x:c r="D654" s="4" t="str">
        <x:v>divide_by_3_tb</x:v>
      </x:c>
      <x:c r="E654" s="4" t="str"/>
      <x:c r="F654" s="4" t="str"/>
      <x:c r="G654" s="4" t="str">
        <x:v>Supporting evidence only; map assertions to case IDs before claiming coverage.</x:v>
      </x:c>
      <x:c r="H654" s="25" t="str">
        <x:v>https://github.com/kapiltrip/RevisionAtlas/blob/2f827008d725333643a78e6c31935ab24cb4e6b7/Programmable%20Frequency%20Divider/sim/divide_by_3_tb.v</x:v>
      </x:c>
      <x:c r="I654" s="4" t="str">
        <x:v>2f827008d725333643a78e6c31935ab24cb4e6b7</x:v>
      </x:c>
    </x:row>
    <x:row r="655" ht="54" customHeight="1">
      <x:c r="A655" s="15" t="str">
        <x:v>RevisionAtlas</x:v>
      </x:c>
      <x:c r="B655" s="15" t="str">
        <x:v>Programmable Frequency Divider/sim/divide_by_4_tb.v</x:v>
      </x:c>
      <x:c r="C655" s="15" t="str">
        <x:v>Existing testbench</x:v>
      </x:c>
      <x:c r="D655" s="15" t="str">
        <x:v>divide_by_4_tb</x:v>
      </x:c>
      <x:c r="E655" s="15" t="str"/>
      <x:c r="F655" s="15" t="str"/>
      <x:c r="G655" s="15" t="str">
        <x:v>Supporting evidence only; map assertions to case IDs before claiming coverage.</x:v>
      </x:c>
      <x:c r="H655" s="26" t="str">
        <x:v>https://github.com/kapiltrip/RevisionAtlas/blob/2f827008d725333643a78e6c31935ab24cb4e6b7/Programmable%20Frequency%20Divider/sim/divide_by_4_tb.v</x:v>
      </x:c>
      <x:c r="I655" s="15" t="str">
        <x:v>2f827008d725333643a78e6c31935ab24cb4e6b7</x:v>
      </x:c>
    </x:row>
    <x:row r="656" ht="54" customHeight="1">
      <x:c r="A656" s="4" t="str">
        <x:v>RevisionAtlas</x:v>
      </x:c>
      <x:c r="B656" s="4" t="str">
        <x:v>Programmable Frequency Divider/sim/divide_by_5_tb.v</x:v>
      </x:c>
      <x:c r="C656" s="4" t="str">
        <x:v>Existing testbench</x:v>
      </x:c>
      <x:c r="D656" s="4" t="str">
        <x:v>divide_by_5_tb</x:v>
      </x:c>
      <x:c r="E656" s="4" t="str"/>
      <x:c r="F656" s="4" t="str"/>
      <x:c r="G656" s="4" t="str">
        <x:v>Supporting evidence only; map assertions to case IDs before claiming coverage.</x:v>
      </x:c>
      <x:c r="H656" s="25" t="str">
        <x:v>https://github.com/kapiltrip/RevisionAtlas/blob/2f827008d725333643a78e6c31935ab24cb4e6b7/Programmable%20Frequency%20Divider/sim/divide_by_5_tb.v</x:v>
      </x:c>
      <x:c r="I656" s="4" t="str">
        <x:v>2f827008d725333643a78e6c31935ab24cb4e6b7</x:v>
      </x:c>
    </x:row>
    <x:row r="657" ht="54" customHeight="1">
      <x:c r="A657" s="15" t="str">
        <x:v>RevisionAtlas</x:v>
      </x:c>
      <x:c r="B657" s="15" t="str">
        <x:v>Programmable Frequency Divider/sim/fractional_pulse_divider_tb.v</x:v>
      </x:c>
      <x:c r="C657" s="15" t="str">
        <x:v>Existing testbench</x:v>
      </x:c>
      <x:c r="D657" s="15" t="str">
        <x:v>fractional_pulse_divider_tb</x:v>
      </x:c>
      <x:c r="E657" s="15" t="str">
        <x:v>actual, total_counts, case_number</x:v>
      </x:c>
      <x:c r="F657" s="15" t="str"/>
      <x:c r="G657" s="15" t="str">
        <x:v>Supporting evidence only; map assertions to case IDs before claiming coverage.</x:v>
      </x:c>
      <x:c r="H657" s="26" t="str">
        <x:v>https://github.com/kapiltrip/RevisionAtlas/blob/2f827008d725333643a78e6c31935ab24cb4e6b7/Programmable%20Frequency%20Divider/sim/fractional_pulse_divider_tb.v</x:v>
      </x:c>
      <x:c r="I657" s="15" t="str">
        <x:v>2f827008d725333643a78e6c31935ab24cb4e6b7</x:v>
      </x:c>
    </x:row>
    <x:row r="658" ht="54" customHeight="1">
      <x:c r="A658" s="4" t="str">
        <x:v>RevisionAtlas</x:v>
      </x:c>
      <x:c r="B658" s="4" t="str">
        <x:v>Programmable Frequency Divider/src/custom_duty_divider.v</x:v>
      </x:c>
      <x:c r="C658" s="4" t="str">
        <x:v>RTL</x:v>
      </x:c>
      <x:c r="D658" s="4" t="str">
        <x:v>custom_duty_divider</x:v>
      </x:c>
      <x:c r="E658" s="4" t="str">
        <x:v>clk_fast, reset</x:v>
      </x:c>
      <x:c r="F658" s="4" t="str">
        <x:v>clk_out</x:v>
      </x:c>
      <x:c r="G658" s="4" t="str">
        <x:v>RA-041</x:v>
      </x:c>
      <x:c r="H658" s="25" t="str">
        <x:v>https://github.com/kapiltrip/RevisionAtlas/blob/2f827008d725333643a78e6c31935ab24cb4e6b7/Programmable%20Frequency%20Divider/src/custom_duty_divider.v</x:v>
      </x:c>
      <x:c r="I658" s="4" t="str">
        <x:v>2f827008d725333643a78e6c31935ab24cb4e6b7</x:v>
      </x:c>
    </x:row>
    <x:row r="659" ht="54" customHeight="1">
      <x:c r="A659" s="15" t="str">
        <x:v>RevisionAtlas</x:v>
      </x:c>
      <x:c r="B659" s="15" t="str">
        <x:v>Programmable Frequency Divider/src/divide_by_2.v</x:v>
      </x:c>
      <x:c r="C659" s="15" t="str">
        <x:v>RTL</x:v>
      </x:c>
      <x:c r="D659" s="15" t="str">
        <x:v>divide_by_2</x:v>
      </x:c>
      <x:c r="E659" s="15" t="str">
        <x:v>clk, reset</x:v>
      </x:c>
      <x:c r="F659" s="15" t="str">
        <x:v>clk_out_25, clk_out_50, clk_out_75</x:v>
      </x:c>
      <x:c r="G659" s="15" t="str">
        <x:v>RA-042</x:v>
      </x:c>
      <x:c r="H659" s="26" t="str">
        <x:v>https://github.com/kapiltrip/RevisionAtlas/blob/2f827008d725333643a78e6c31935ab24cb4e6b7/Programmable%20Frequency%20Divider/src/divide_by_2.v</x:v>
      </x:c>
      <x:c r="I659" s="15" t="str">
        <x:v>2f827008d725333643a78e6c31935ab24cb4e6b7</x:v>
      </x:c>
    </x:row>
    <x:row r="660" ht="54" customHeight="1">
      <x:c r="A660" s="4" t="str">
        <x:v>RevisionAtlas</x:v>
      </x:c>
      <x:c r="B660" s="4" t="str">
        <x:v>Programmable Frequency Divider/src/divide_by_3.v</x:v>
      </x:c>
      <x:c r="C660" s="4" t="str">
        <x:v>RTL</x:v>
      </x:c>
      <x:c r="D660" s="4" t="str">
        <x:v>divide_by_3</x:v>
      </x:c>
      <x:c r="E660" s="4" t="str">
        <x:v>clk, reset</x:v>
      </x:c>
      <x:c r="F660" s="4" t="str">
        <x:v>clk_out_16_67, clk_out_33_33, clk_out_50, clk_out_66_67, clk_out_83_33</x:v>
      </x:c>
      <x:c r="G660" s="4" t="str">
        <x:v>RA-043</x:v>
      </x:c>
      <x:c r="H660" s="25" t="str">
        <x:v>https://github.com/kapiltrip/RevisionAtlas/blob/2f827008d725333643a78e6c31935ab24cb4e6b7/Programmable%20Frequency%20Divider/src/divide_by_3.v</x:v>
      </x:c>
      <x:c r="I660" s="4" t="str">
        <x:v>2f827008d725333643a78e6c31935ab24cb4e6b7</x:v>
      </x:c>
    </x:row>
    <x:row r="661" ht="54" customHeight="1">
      <x:c r="A661" s="15" t="str">
        <x:v>RevisionAtlas</x:v>
      </x:c>
      <x:c r="B661" s="15" t="str">
        <x:v>Programmable Frequency Divider/src/divide_by_4.v</x:v>
      </x:c>
      <x:c r="C661" s="15" t="str">
        <x:v>RTL</x:v>
      </x:c>
      <x:c r="D661" s="15" t="str">
        <x:v>divide_by_4</x:v>
      </x:c>
      <x:c r="E661" s="15" t="str">
        <x:v>clk, reset</x:v>
      </x:c>
      <x:c r="F661" s="15" t="str">
        <x:v>clk_out_12_5, clk_out_25, clk_out_37_5, clk_out_50, clk_out_62_5, clk_out_75, clk_out_87_5</x:v>
      </x:c>
      <x:c r="G661" s="15" t="str">
        <x:v>RA-044</x:v>
      </x:c>
      <x:c r="H661" s="26" t="str">
        <x:v>https://github.com/kapiltrip/RevisionAtlas/blob/2f827008d725333643a78e6c31935ab24cb4e6b7/Programmable%20Frequency%20Divider/src/divide_by_4.v</x:v>
      </x:c>
      <x:c r="I661" s="15" t="str">
        <x:v>2f827008d725333643a78e6c31935ab24cb4e6b7</x:v>
      </x:c>
    </x:row>
    <x:row r="662" ht="54" customHeight="1">
      <x:c r="A662" s="4" t="str">
        <x:v>RevisionAtlas</x:v>
      </x:c>
      <x:c r="B662" s="4" t="str">
        <x:v>Programmable Frequency Divider/src/divide_by_5.v</x:v>
      </x:c>
      <x:c r="C662" s="4" t="str">
        <x:v>RTL</x:v>
      </x:c>
      <x:c r="D662" s="4" t="str">
        <x:v>divide_by_5</x:v>
      </x:c>
      <x:c r="E662" s="4" t="str">
        <x:v>clk, reset</x:v>
      </x:c>
      <x:c r="F662" s="4" t="str">
        <x:v>clk_out_10, clk_out_20, clk_out_30, clk_out_40, clk_out_50, clk_out_60, clk_out_70, clk_out_80, clk_out_90</x:v>
      </x:c>
      <x:c r="G662" s="4" t="str">
        <x:v>RA-045</x:v>
      </x:c>
      <x:c r="H662" s="25" t="str">
        <x:v>https://github.com/kapiltrip/RevisionAtlas/blob/2f827008d725333643a78e6c31935ab24cb4e6b7/Programmable%20Frequency%20Divider/src/divide_by_5.v</x:v>
      </x:c>
      <x:c r="I662" s="4" t="str">
        <x:v>2f827008d725333643a78e6c31935ab24cb4e6b7</x:v>
      </x:c>
    </x:row>
    <x:row r="663" ht="54" customHeight="1">
      <x:c r="A663" s="15" t="str">
        <x:v>RevisionAtlas</x:v>
      </x:c>
      <x:c r="B663" s="15" t="str">
        <x:v>Programmable Frequency Divider/src/fractional_pulse_divider.v</x:v>
      </x:c>
      <x:c r="C663" s="15" t="str">
        <x:v>RTL</x:v>
      </x:c>
      <x:c r="D663" s="15" t="str">
        <x:v>fractional_pulse_divider</x:v>
      </x:c>
      <x:c r="E663" s="15" t="str">
        <x:v>clk_2x, reset</x:v>
      </x:c>
      <x:c r="F663" s="15" t="str">
        <x:v>pulse_out</x:v>
      </x:c>
      <x:c r="G663" s="15" t="str">
        <x:v>RA-046</x:v>
      </x:c>
      <x:c r="H663" s="26" t="str">
        <x:v>https://github.com/kapiltrip/RevisionAtlas/blob/2f827008d725333643a78e6c31935ab24cb4e6b7/Programmable%20Frequency%20Divider/src/fractional_pulse_divider.v</x:v>
      </x:c>
      <x:c r="I663" s="15" t="str">
        <x:v>2f827008d725333643a78e6c31935ab24cb4e6b7</x:v>
      </x:c>
    </x:row>
    <x:row r="664" ht="54" customHeight="1">
      <x:c r="A664" s="4" t="str">
        <x:v>RevisionAtlas</x:v>
      </x:c>
      <x:c r="B664" s="4" t="str">
        <x:v>Protocols/04 AMBA/01 AHB/code/rtl/ahb_lite_manager.v</x:v>
      </x:c>
      <x:c r="C664" s="4" t="str">
        <x:v>RTL</x:v>
      </x:c>
      <x:c r="D664" s="4" t="str">
        <x:v>ahb_lite_manager</x:v>
      </x:c>
      <x:c r="E664" s="4" t="str">
        <x:v>HCLK, HRESETn, req_valid, req_write, req_burst, req_addr, req_wdata, HRDATA, HREADY, HRESP</x:v>
      </x:c>
      <x:c r="F664" s="4" t="str">
        <x:v>req_ready, done, error, rsp_rdata, HADDR, HBURST, HMASTLOCK, HPROT, HSIZE, HTRANS, HWDATA, HWRITE</x:v>
      </x:c>
      <x:c r="G664" s="4" t="str">
        <x:v>RA-001, RA-002, RA-003, RA-004, RA-005</x:v>
      </x:c>
      <x:c r="H664" s="25" t="str">
        <x:v>https://github.com/kapiltrip/RevisionAtlas/blob/2f827008d725333643a78e6c31935ab24cb4e6b7/Protocols/04%20AMBA/01%20AHB/code/rtl/ahb_lite_manager.v</x:v>
      </x:c>
      <x:c r="I664" s="4" t="str">
        <x:v>2f827008d725333643a78e6c31935ab24cb4e6b7</x:v>
      </x:c>
    </x:row>
    <x:row r="665" ht="54" customHeight="1">
      <x:c r="A665" s="15" t="str">
        <x:v>RevisionAtlas</x:v>
      </x:c>
      <x:c r="B665" s="15" t="str">
        <x:v>Protocols/04 AMBA/01 AHB/code/tb/ahb_lite_manager_tb.v</x:v>
      </x:c>
      <x:c r="C665" s="15" t="str">
        <x:v>Existing testbench</x:v>
      </x:c>
      <x:c r="D665" s="15" t="str">
        <x:v>ahb_lite_manager_tb</x:v>
      </x:c>
      <x:c r="E665" s="15" t="str">
        <x:v>write_request, burst_request, start_address, write_words, address, expected</x:v>
      </x:c>
      <x:c r="F665" s="15" t="str"/>
      <x:c r="G665" s="15" t="str">
        <x:v>Supporting evidence only; map assertions to case IDs before claiming coverage.</x:v>
      </x:c>
      <x:c r="H665" s="26" t="str">
        <x:v>https://github.com/kapiltrip/RevisionAtlas/blob/2f827008d725333643a78e6c31935ab24cb4e6b7/Protocols/04%20AMBA/01%20AHB/code/tb/ahb_lite_manager_tb.v</x:v>
      </x:c>
      <x:c r="I665" s="15" t="str">
        <x:v>2f827008d725333643a78e6c31935ab24cb4e6b7</x:v>
      </x:c>
    </x:row>
    <x:row r="666" ht="68" customHeight="1">
      <x:c r="A666" s="4" t="str">
        <x:v>RevisionAtlas</x:v>
      </x:c>
      <x:c r="B666" s="4" t="str">
        <x:v>Protocols/04 AMBA/03 AXI/Code/Section 01 - Introduction to AXI/Lessons 007-010 - Valid Ready Handshake/demo/handshake.sv</x:v>
      </x:c>
      <x:c r="C666" s="4" t="str">
        <x:v>Verification example</x:v>
      </x:c>
      <x:c r="D666" s="4" t="str">
        <x:v>handshake</x:v>
      </x:c>
      <x:c r="E666" s="4" t="str"/>
      <x:c r="F666" s="4" t="str"/>
      <x:c r="G666" s="4" t="str">
        <x:v>Supporting evidence only; map assertions to case IDs before claiming coverage.</x:v>
      </x:c>
      <x:c r="H666" s="25" t="str">
        <x:v>https://github.com/kapiltrip/RevisionAtlas/blob/2f827008d725333643a78e6c31935ab24cb4e6b7/Protocols/04%20AMBA/03%20AXI/Code/Section%2001%20-%20Introduction%20to%20AXI/Lessons%20007-010%20-%20Valid%20Ready%20Handshake/demo/handshake.sv</x:v>
      </x:c>
      <x:c r="I666" s="4" t="str">
        <x:v>2f827008d725333643a78e6c31935ab24cb4e6b7</x:v>
      </x:c>
    </x:row>
    <x:row r="667" ht="68" customHeight="1">
      <x:c r="A667" s="15" t="str">
        <x:v>RevisionAtlas</x:v>
      </x:c>
      <x:c r="B667" s="15" t="str">
        <x:v>Protocols/04 AMBA/03 AXI/Code/Section 02 - AXI-Stream Interface Fundamentals/Lessons 020-022 - AXIS Master/rtl/axis_m.sv</x:v>
      </x:c>
      <x:c r="C667" s="15" t="str">
        <x:v>RTL</x:v>
      </x:c>
      <x:c r="D667" s="15" t="str">
        <x:v>axis_m</x:v>
      </x:c>
      <x:c r="E667" s="15" t="str">
        <x:v>m_axis_aclk, m_axis_aresetn, newd, din, m_axis_tready</x:v>
      </x:c>
      <x:c r="F667" s="15" t="str">
        <x:v>m_axis_tvalid, m_axis_tdata, m_axis_tlast</x:v>
      </x:c>
      <x:c r="G667" s="15" t="str">
        <x:v>RA-006, RA-007</x:v>
      </x:c>
      <x:c r="H667" s="26" t="str">
        <x:v>https://github.com/kapiltrip/RevisionAtlas/blob/2f827008d725333643a78e6c31935ab24cb4e6b7/Protocols/04%20AMBA/03%20AXI/Code/Section%2002%20-%20AXI-Stream%20Interface%20Fundamentals/Lessons%20020-022%20-%20AXIS%20Master/rtl/axis_m.sv</x:v>
      </x:c>
      <x:c r="I667" s="15" t="str">
        <x:v>2f827008d725333643a78e6c31935ab24cb4e6b7</x:v>
      </x:c>
    </x:row>
    <x:row r="668" ht="68" customHeight="1">
      <x:c r="A668" s="4" t="str">
        <x:v>RevisionAtlas</x:v>
      </x:c>
      <x:c r="B668" s="4" t="str">
        <x:v>Protocols/04 AMBA/03 AXI/Code/Section 02 - AXI-Stream Interface Fundamentals/Lessons 020-022 - AXIS Master/tb/tb_axis_m.sv</x:v>
      </x:c>
      <x:c r="C668" s="4" t="str">
        <x:v>Existing testbench</x:v>
      </x:c>
      <x:c r="D668" s="4" t="str">
        <x:v>tb_axis_m</x:v>
      </x:c>
      <x:c r="E668" s="4" t="str"/>
      <x:c r="F668" s="4" t="str"/>
      <x:c r="G668" s="4" t="str">
        <x:v>Supporting evidence only; map assertions to case IDs before claiming coverage.</x:v>
      </x:c>
      <x:c r="H668" s="25" t="str">
        <x:v>https://github.com/kapiltrip/RevisionAtlas/blob/2f827008d725333643a78e6c31935ab24cb4e6b7/Protocols/04%20AMBA/03%20AXI/Code/Section%2002%20-%20AXI-Stream%20Interface%20Fundamentals/Lessons%20020-022%20-%20AXIS%20Master/tb/tb_axis_m.sv</x:v>
      </x:c>
      <x:c r="I668" s="4" t="str">
        <x:v>2f827008d725333643a78e6c31935ab24cb4e6b7</x:v>
      </x:c>
    </x:row>
    <x:row r="669" ht="68" customHeight="1">
      <x:c r="A669" s="15" t="str">
        <x:v>RevisionAtlas</x:v>
      </x:c>
      <x:c r="B669" s="15" t="str">
        <x:v>Protocols/04 AMBA/03 AXI/Code/Section 02 - AXI-Stream Interface Fundamentals/Lessons 023-026 - AXIS Slave/rtl/axis_s.sv</x:v>
      </x:c>
      <x:c r="C669" s="15" t="str">
        <x:v>RTL</x:v>
      </x:c>
      <x:c r="D669" s="15" t="str">
        <x:v>axis_s</x:v>
      </x:c>
      <x:c r="E669" s="15" t="str">
        <x:v>s_axis_aclk, s_axis_aresetn, s_axis_tvalid, s_axis_tdata, s_axis_tlast</x:v>
      </x:c>
      <x:c r="F669" s="15" t="str">
        <x:v>s_axis_tready, dout</x:v>
      </x:c>
      <x:c r="G669" s="15" t="str">
        <x:v>RA-008</x:v>
      </x:c>
      <x:c r="H669" s="26" t="str">
        <x:v>https://github.com/kapiltrip/RevisionAtlas/blob/2f827008d725333643a78e6c31935ab24cb4e6b7/Protocols/04%20AMBA/03%20AXI/Code/Section%2002%20-%20AXI-Stream%20Interface%20Fundamentals/Lessons%20023-026%20-%20AXIS%20Slave/rtl/axis_s.sv</x:v>
      </x:c>
      <x:c r="I669" s="15" t="str">
        <x:v>2f827008d725333643a78e6c31935ab24cb4e6b7</x:v>
      </x:c>
    </x:row>
    <x:row r="670" ht="68" customHeight="1">
      <x:c r="A670" s="4" t="str">
        <x:v>RevisionAtlas</x:v>
      </x:c>
      <x:c r="B670" s="4" t="str">
        <x:v>Protocols/04 AMBA/03 AXI/Code/Section 02 - AXI-Stream Interface Fundamentals/Lessons 023-026 - AXIS Slave/tb/axis_s_tb.sv</x:v>
      </x:c>
      <x:c r="C670" s="4" t="str">
        <x:v>Existing testbench</x:v>
      </x:c>
      <x:c r="D670" s="4" t="str">
        <x:v>axis_s_tb</x:v>
      </x:c>
      <x:c r="E670" s="4" t="str"/>
      <x:c r="F670" s="4" t="str"/>
      <x:c r="G670" s="4" t="str">
        <x:v>Supporting evidence only; map assertions to case IDs before claiming coverage.</x:v>
      </x:c>
      <x:c r="H670" s="25" t="str">
        <x:v>https://github.com/kapiltrip/RevisionAtlas/blob/2f827008d725333643a78e6c31935ab24cb4e6b7/Protocols/04%20AMBA/03%20AXI/Code/Section%2002%20-%20AXI-Stream%20Interface%20Fundamentals/Lessons%20023-026%20-%20AXIS%20Slave/tb/axis_s_tb.sv</x:v>
      </x:c>
      <x:c r="I670" s="4" t="str">
        <x:v>2f827008d725333643a78e6c31935ab24cb4e6b7</x:v>
      </x:c>
    </x:row>
    <x:row r="671" ht="68" customHeight="1">
      <x:c r="A671" s="15" t="str">
        <x:v>RevisionAtlas</x:v>
      </x:c>
      <x:c r="B671" s="15" t="str">
        <x:v>Protocols/04 AMBA/03 AXI/Code/Section 02 - AXI-Stream Interface Fundamentals/Lessons 027-028 - Master Slave Integration/rtl/top.sv</x:v>
      </x:c>
      <x:c r="C671" s="15" t="str">
        <x:v>RTL</x:v>
      </x:c>
      <x:c r="D671" s="15" t="str">
        <x:v>top</x:v>
      </x:c>
      <x:c r="E671" s="15" t="str">
        <x:v>clk, rst, newd, din</x:v>
      </x:c>
      <x:c r="F671" s="15" t="str">
        <x:v>dout, last</x:v>
      </x:c>
      <x:c r="G671" s="15" t="str">
        <x:v>RA-047</x:v>
      </x:c>
      <x:c r="H671" s="26" t="str">
        <x:v>https://github.com/kapiltrip/RevisionAtlas/blob/2f827008d725333643a78e6c31935ab24cb4e6b7/Protocols/04%20AMBA/03%20AXI/Code/Section%2002%20-%20AXI-Stream%20Interface%20Fundamentals/Lessons%20027-028%20-%20Master%20Slave%20Integration/rtl/top.sv</x:v>
      </x:c>
      <x:c r="I671" s="15" t="str">
        <x:v>2f827008d725333643a78e6c31935ab24cb4e6b7</x:v>
      </x:c>
    </x:row>
    <x:row r="672" ht="68" customHeight="1">
      <x:c r="A672" s="4" t="str">
        <x:v>RevisionAtlas</x:v>
      </x:c>
      <x:c r="B672" s="4" t="str">
        <x:v>Protocols/04 AMBA/03 AXI/Code/Section 02 - AXI-Stream Interface Fundamentals/Lessons 027-028 - Master Slave Integration/tb/top_tb.sv</x:v>
      </x:c>
      <x:c r="C672" s="4" t="str">
        <x:v>Existing testbench</x:v>
      </x:c>
      <x:c r="D672" s="4" t="str">
        <x:v>top_tb</x:v>
      </x:c>
      <x:c r="E672" s="4" t="str"/>
      <x:c r="F672" s="4" t="str"/>
      <x:c r="G672" s="4" t="str">
        <x:v>Supporting evidence only; map assertions to case IDs before claiming coverage.</x:v>
      </x:c>
      <x:c r="H672" s="25" t="str">
        <x:v>https://github.com/kapiltrip/RevisionAtlas/blob/2f827008d725333643a78e6c31935ab24cb4e6b7/Protocols/04%20AMBA/03%20AXI/Code/Section%2002%20-%20AXI-Stream%20Interface%20Fundamentals/Lessons%20027-028%20-%20Master%20Slave%20Integration/tb/top_tb.sv</x:v>
      </x:c>
      <x:c r="I672" s="4" t="str">
        <x:v>2f827008d725333643a78e6c31935ab24cb4e6b7</x:v>
      </x:c>
    </x:row>
    <x:row r="673" ht="68" customHeight="1">
      <x:c r="A673" s="15" t="str">
        <x:v>RevisionAtlas</x:v>
      </x:c>
      <x:c r="B673" s="15" t="str">
        <x:v>Protocols/04 AMBA/03 AXI/Code/Section 03 - AXI-Stream IPs/Lessons 030-033 - Round Robin Arbiter/rtl/robin.sv</x:v>
      </x:c>
      <x:c r="C673" s="15" t="str">
        <x:v>RTL</x:v>
      </x:c>
      <x:c r="D673" s="15" t="str">
        <x:v>robin</x:v>
      </x:c>
      <x:c r="E673" s="15" t="str">
        <x:v>clk, rst, req1, req2</x:v>
      </x:c>
      <x:c r="F673" s="15" t="str">
        <x:v>gnt1, gnt2</x:v>
      </x:c>
      <x:c r="G673" s="15" t="str">
        <x:v>RA-009</x:v>
      </x:c>
      <x:c r="H673" s="26" t="str">
        <x:v>https://github.com/kapiltrip/RevisionAtlas/blob/2f827008d725333643a78e6c31935ab24cb4e6b7/Protocols/04%20AMBA/03%20AXI/Code/Section%2003%20-%20AXI-Stream%20IPs/Lessons%20030-033%20-%20Round%20Robin%20Arbiter/rtl/robin.sv</x:v>
      </x:c>
      <x:c r="I673" s="15" t="str">
        <x:v>2f827008d725333643a78e6c31935ab24cb4e6b7</x:v>
      </x:c>
    </x:row>
    <x:row r="674" ht="68" customHeight="1">
      <x:c r="A674" s="4" t="str">
        <x:v>RevisionAtlas</x:v>
      </x:c>
      <x:c r="B674" s="4" t="str">
        <x:v>Protocols/04 AMBA/03 AXI/Code/Section 03 - AXI-Stream IPs/Lessons 030-033 - Round Robin Arbiter/tb/tb.sv</x:v>
      </x:c>
      <x:c r="C674" s="4" t="str">
        <x:v>Existing testbench</x:v>
      </x:c>
      <x:c r="D674" s="4" t="str">
        <x:v>tb</x:v>
      </x:c>
      <x:c r="E674" s="4" t="str"/>
      <x:c r="F674" s="4" t="str"/>
      <x:c r="G674" s="4" t="str">
        <x:v>Supporting evidence only; map assertions to case IDs before claiming coverage.</x:v>
      </x:c>
      <x:c r="H674" s="25" t="str">
        <x:v>https://github.com/kapiltrip/RevisionAtlas/blob/2f827008d725333643a78e6c31935ab24cb4e6b7/Protocols/04%20AMBA/03%20AXI/Code/Section%2003%20-%20AXI-Stream%20IPs/Lessons%20030-033%20-%20Round%20Robin%20Arbiter/tb/tb.sv</x:v>
      </x:c>
      <x:c r="I674" s="4" t="str">
        <x:v>2f827008d725333643a78e6c31935ab24cb4e6b7</x:v>
      </x:c>
    </x:row>
    <x:row r="675" ht="68" customHeight="1">
      <x:c r="A675" s="15" t="str">
        <x:v>RevisionAtlas</x:v>
      </x:c>
      <x:c r="B675" s="15" t="str">
        <x:v>Protocols/04 AMBA/03 AXI/Code/Section 03 - AXI-Stream IPs/Lessons 034-038 - AXIS Arbiter/rtl/axis_arb.sv</x:v>
      </x:c>
      <x:c r="C675" s="15" t="str">
        <x:v>RTL</x:v>
      </x:c>
      <x:c r="D675" s="15" t="str">
        <x:v>axis_arb</x:v>
      </x:c>
      <x:c r="E675" s="15" t="str">
        <x:v>aclk, aresetn, s_axis_tvalid1, s_axis_tvalid2, s_axis_tdata1, s_axis_tdata2, s_axis_tlast1, s_axis_tlast2, m_axis_tready</x:v>
      </x:c>
      <x:c r="F675" s="15" t="str">
        <x:v>s_axis_tready1, s_axis_tready2, m_axis_tvalid, m_axis_tdata, m_axis_tlast</x:v>
      </x:c>
      <x:c r="G675" s="15" t="str">
        <x:v>RA-048</x:v>
      </x:c>
      <x:c r="H675" s="26" t="str">
        <x:v>https://github.com/kapiltrip/RevisionAtlas/blob/2f827008d725333643a78e6c31935ab24cb4e6b7/Protocols/04%20AMBA/03%20AXI/Code/Section%2003%20-%20AXI-Stream%20IPs/Lessons%20034-038%20-%20AXIS%20Arbiter/rtl/axis_arb.sv</x:v>
      </x:c>
      <x:c r="I675" s="15" t="str">
        <x:v>2f827008d725333643a78e6c31935ab24cb4e6b7</x:v>
      </x:c>
    </x:row>
    <x:row r="676" ht="68" customHeight="1">
      <x:c r="A676" s="4" t="str">
        <x:v>RevisionAtlas</x:v>
      </x:c>
      <x:c r="B676" s="4" t="str">
        <x:v>Protocols/04 AMBA/03 AXI/Code/Section 03 - AXI-Stream IPs/Lessons 034-038 - AXIS Arbiter/tb/tb_axis_arb.sv</x:v>
      </x:c>
      <x:c r="C676" s="4" t="str">
        <x:v>Existing testbench</x:v>
      </x:c>
      <x:c r="D676" s="4" t="str">
        <x:v>tb_axis_arb</x:v>
      </x:c>
      <x:c r="E676" s="4" t="str"/>
      <x:c r="F676" s="4" t="str"/>
      <x:c r="G676" s="4" t="str">
        <x:v>Supporting evidence only; map assertions to case IDs before claiming coverage.</x:v>
      </x:c>
      <x:c r="H676" s="25" t="str">
        <x:v>https://github.com/kapiltrip/RevisionAtlas/blob/2f827008d725333643a78e6c31935ab24cb4e6b7/Protocols/04%20AMBA/03%20AXI/Code/Section%2003%20-%20AXI-Stream%20IPs/Lessons%20034-038%20-%20AXIS%20Arbiter/tb/tb_axis_arb.sv</x:v>
      </x:c>
      <x:c r="I676" s="4" t="str">
        <x:v>2f827008d725333643a78e6c31935ab24cb4e6b7</x:v>
      </x:c>
    </x:row>
    <x:row r="677" ht="68" customHeight="1">
      <x:c r="A677" s="15" t="str">
        <x:v>RevisionAtlas</x:v>
      </x:c>
      <x:c r="B677" s="15" t="str">
        <x:v>Protocols/04 AMBA/03 AXI/Code/Section 03 - AXI-Stream IPs/Lessons 039-042 - AXIS FIFO/rtl/axis_fifo.sv</x:v>
      </x:c>
      <x:c r="C677" s="15" t="str">
        <x:v>RTL</x:v>
      </x:c>
      <x:c r="D677" s="15" t="str">
        <x:v>axis_fifo</x:v>
      </x:c>
      <x:c r="E677" s="15" t="str">
        <x:v>aclk, aresetn, s_axis_tvalid, s_axis_tdata, s_axis_tkeep, s_axis_tlast, m_axis_tready</x:v>
      </x:c>
      <x:c r="F677" s="15" t="str">
        <x:v>m_axis_tvalid, m_axis_tdata, m_axis_tkeep, m_axis_tlast</x:v>
      </x:c>
      <x:c r="G677" s="15" t="str">
        <x:v>RA-010, RA-011</x:v>
      </x:c>
      <x:c r="H677" s="26" t="str">
        <x:v>https://github.com/kapiltrip/RevisionAtlas/blob/2f827008d725333643a78e6c31935ab24cb4e6b7/Protocols/04%20AMBA/03%20AXI/Code/Section%2003%20-%20AXI-Stream%20IPs/Lessons%20039-042%20-%20AXIS%20FIFO/rtl/axis_fifo.sv</x:v>
      </x:c>
      <x:c r="I677" s="15" t="str">
        <x:v>2f827008d725333643a78e6c31935ab24cb4e6b7</x:v>
      </x:c>
    </x:row>
    <x:row r="678" ht="68" customHeight="1">
      <x:c r="A678" s="4" t="str">
        <x:v>RevisionAtlas</x:v>
      </x:c>
      <x:c r="B678" s="4" t="str">
        <x:v>Protocols/04 AMBA/03 AXI/Code/Section 03 - AXI-Stream IPs/Lessons 039-042 - AXIS FIFO/tb/axis_fifo_tb.sv</x:v>
      </x:c>
      <x:c r="C678" s="4" t="str">
        <x:v>Existing testbench</x:v>
      </x:c>
      <x:c r="D678" s="4" t="str">
        <x:v>axis_fifo_tb</x:v>
      </x:c>
      <x:c r="E678" s="4" t="str"/>
      <x:c r="F678" s="4" t="str"/>
      <x:c r="G678" s="4" t="str">
        <x:v>Supporting evidence only; map assertions to case IDs before claiming coverage.</x:v>
      </x:c>
      <x:c r="H678" s="25" t="str">
        <x:v>https://github.com/kapiltrip/RevisionAtlas/blob/2f827008d725333643a78e6c31935ab24cb4e6b7/Protocols/04%20AMBA/03%20AXI/Code/Section%2003%20-%20AXI-Stream%20IPs/Lessons%20039-042%20-%20AXIS%20FIFO/tb/axis_fifo_tb.sv</x:v>
      </x:c>
      <x:c r="I678" s="4" t="str">
        <x:v>2f827008d725333643a78e6c31935ab24cb4e6b7</x:v>
      </x:c>
    </x:row>
    <x:row r="679" ht="68" customHeight="1">
      <x:c r="A679" s="15" t="str">
        <x:v>RevisionAtlas</x:v>
      </x:c>
      <x:c r="B679" s="15" t="str">
        <x:v>Protocols/04 AMBA/03 AXI/Code/Section 03 - AXI-Stream IPs/Lessons 043-044 - AXIS FIFO Alternate/rtl/axis_fifo.sv</x:v>
      </x:c>
      <x:c r="C679" s="15" t="str">
        <x:v>RTL</x:v>
      </x:c>
      <x:c r="D679" s="15" t="str">
        <x:v>axis_fifo</x:v>
      </x:c>
      <x:c r="E679" s="15" t="str">
        <x:v>aclk, aresetn, s_axis_tvalid, s_axis_tdata, s_axis_tkeep, s_axis_tlast, m_axis_tready</x:v>
      </x:c>
      <x:c r="F679" s="15" t="str">
        <x:v>m_axis_tvalid, m_axis_tdata, m_axis_tkeep, m_axis_tlast</x:v>
      </x:c>
      <x:c r="G679" s="15" t="str">
        <x:v>RA-012, RA-013</x:v>
      </x:c>
      <x:c r="H679" s="26" t="str">
        <x:v>https://github.com/kapiltrip/RevisionAtlas/blob/2f827008d725333643a78e6c31935ab24cb4e6b7/Protocols/04%20AMBA/03%20AXI/Code/Section%2003%20-%20AXI-Stream%20IPs/Lessons%20043-044%20-%20AXIS%20FIFO%20Alternate/rtl/axis_fifo.sv</x:v>
      </x:c>
      <x:c r="I679" s="15" t="str">
        <x:v>2f827008d725333643a78e6c31935ab24cb4e6b7</x:v>
      </x:c>
    </x:row>
    <x:row r="680" ht="68" customHeight="1">
      <x:c r="A680" s="4" t="str">
        <x:v>RevisionAtlas</x:v>
      </x:c>
      <x:c r="B680" s="4" t="str">
        <x:v>Protocols/04 AMBA/03 AXI/Code/Section 03 - AXI-Stream IPs/Lessons 043-044 - AXIS FIFO Alternate/tb/axis_fifo_tb.sv</x:v>
      </x:c>
      <x:c r="C680" s="4" t="str">
        <x:v>Existing testbench</x:v>
      </x:c>
      <x:c r="D680" s="4" t="str">
        <x:v>axis_fifo_tb</x:v>
      </x:c>
      <x:c r="E680" s="4" t="str"/>
      <x:c r="F680" s="4" t="str"/>
      <x:c r="G680" s="4" t="str">
        <x:v>Supporting evidence only; map assertions to case IDs before claiming coverage.</x:v>
      </x:c>
      <x:c r="H680" s="25" t="str">
        <x:v>https://github.com/kapiltrip/RevisionAtlas/blob/2f827008d725333643a78e6c31935ab24cb4e6b7/Protocols/04%20AMBA/03%20AXI/Code/Section%2003%20-%20AXI-Stream%20IPs/Lessons%20043-044%20-%20AXIS%20FIFO%20Alternate/tb/axis_fifo_tb.sv</x:v>
      </x:c>
      <x:c r="I680" s="4" t="str">
        <x:v>2f827008d725333643a78e6c31935ab24cb4e6b7</x:v>
      </x:c>
    </x:row>
    <x:row r="681" ht="82" customHeight="1">
      <x:c r="A681" s="15" t="str">
        <x:v>RevisionAtlas</x:v>
      </x:c>
      <x:c r="B681" s="15" t="str">
        <x:v>Protocols/04 AMBA/03 AXI/Code/Section 05 - AXI-Lite Single Beat without Pipeline/Lessons 060-067 - AXIL Write Only Master and Slave/rtl/m_axi.sv</x:v>
      </x:c>
      <x:c r="C681" s="15" t="str">
        <x:v>RTL</x:v>
      </x:c>
      <x:c r="D681" s="15" t="str">
        <x:v>m_axi</x:v>
      </x:c>
      <x:c r="E681" s="15" t="str">
        <x:v>i_clk, i_resetn, i_wr, i_din, i_strb, i_addrin, m_axi_awready, m_axi_wready, m_axi_bvalid, m_axi_bresp</x:v>
      </x:c>
      <x:c r="F681" s="15" t="str">
        <x:v>m_axi_awvalid, m_axi_awaddr, m_axi_wvalid, m_axi_wdata, m_axi_wstrb, m_axi_bready</x:v>
      </x:c>
      <x:c r="G681" s="15" t="str">
        <x:v>RA-014</x:v>
      </x:c>
      <x:c r="H681" s="26" t="str">
        <x:v>https://github.com/kapiltrip/RevisionAtlas/blob/2f827008d725333643a78e6c31935ab24cb4e6b7/Protocols/04%20AMBA/03%20AXI/Code/Section%2005%20-%20AXI-Lite%20Single%20Beat%20without%20Pipeline/Lessons%20060-067%20-%20AXIL%20Write%20Only%20Master%20and%20Slave/rtl/m_axi.sv</x:v>
      </x:c>
      <x:c r="I681" s="15" t="str">
        <x:v>2f827008d725333643a78e6c31935ab24cb4e6b7</x:v>
      </x:c>
    </x:row>
    <x:row r="682" ht="82" customHeight="1">
      <x:c r="A682" s="4" t="str">
        <x:v>RevisionAtlas</x:v>
      </x:c>
      <x:c r="B682" s="4" t="str">
        <x:v>Protocols/04 AMBA/03 AXI/Code/Section 05 - AXI-Lite Single Beat without Pipeline/Lessons 060-067 - AXIL Write Only Master and Slave/rtl/s_axi.sv</x:v>
      </x:c>
      <x:c r="C682" s="4" t="str">
        <x:v>RTL</x:v>
      </x:c>
      <x:c r="D682" s="4" t="str">
        <x:v>s_axi</x:v>
      </x:c>
      <x:c r="E682" s="4" t="str">
        <x:v>i_clk, i_resetn, s_axi_awvalid, s_axi_awaddr, s_axi_wvalid, s_axi_wdata, s_axi_wstrb, s_axi_bready</x:v>
      </x:c>
      <x:c r="F682" s="4" t="str">
        <x:v>s_axi_awready, s_axi_wready, s_axi_bvalid, s_axi_bresp</x:v>
      </x:c>
      <x:c r="G682" s="4" t="str">
        <x:v>RA-015</x:v>
      </x:c>
      <x:c r="H682" s="25" t="str">
        <x:v>https://github.com/kapiltrip/RevisionAtlas/blob/2f827008d725333643a78e6c31935ab24cb4e6b7/Protocols/04%20AMBA/03%20AXI/Code/Section%2005%20-%20AXI-Lite%20Single%20Beat%20without%20Pipeline/Lessons%20060-067%20-%20AXIL%20Write%20Only%20Master%20and%20Slave/rtl/s_axi.sv</x:v>
      </x:c>
      <x:c r="I682" s="4" t="str">
        <x:v>2f827008d725333643a78e6c31935ab24cb4e6b7</x:v>
      </x:c>
    </x:row>
    <x:row r="683" ht="82" customHeight="1">
      <x:c r="A683" s="15" t="str">
        <x:v>RevisionAtlas</x:v>
      </x:c>
      <x:c r="B683" s="15" t="str">
        <x:v>Protocols/04 AMBA/03 AXI/Code/Section 05 - AXI-Lite Single Beat without Pipeline/Lessons 060-067 - AXIL Write Only Master and Slave/tb/tb.sv</x:v>
      </x:c>
      <x:c r="C683" s="15" t="str">
        <x:v>Existing testbench</x:v>
      </x:c>
      <x:c r="D683" s="15" t="str">
        <x:v>tb</x:v>
      </x:c>
      <x:c r="E683" s="15" t="str"/>
      <x:c r="F683" s="15" t="str"/>
      <x:c r="G683" s="15" t="str">
        <x:v>Supporting evidence only; map assertions to case IDs before claiming coverage.</x:v>
      </x:c>
      <x:c r="H683" s="26" t="str">
        <x:v>https://github.com/kapiltrip/RevisionAtlas/blob/2f827008d725333643a78e6c31935ab24cb4e6b7/Protocols/04%20AMBA/03%20AXI/Code/Section%2005%20-%20AXI-Lite%20Single%20Beat%20without%20Pipeline/Lessons%20060-067%20-%20AXIL%20Write%20Only%20Master%20and%20Slave/tb/tb.sv</x:v>
      </x:c>
      <x:c r="I683" s="15" t="str">
        <x:v>2f827008d725333643a78e6c31935ab24cb4e6b7</x:v>
      </x:c>
    </x:row>
    <x:row r="684" ht="68" customHeight="1">
      <x:c r="A684" s="4" t="str">
        <x:v>RevisionAtlas</x:v>
      </x:c>
      <x:c r="B684" s="4" t="str">
        <x:v>Protocols/04 AMBA/03 AXI/Code/Section 05 - AXI-Lite Single Beat without Pipeline/Lessons 068-072 - AXI Protocol Checker/rtl/p_m_axi.sv</x:v>
      </x:c>
      <x:c r="C684" s="4" t="str">
        <x:v>RTL</x:v>
      </x:c>
      <x:c r="D684" s="4" t="str">
        <x:v>p_m_axi</x:v>
      </x:c>
      <x:c r="E684" s="4" t="str">
        <x:v>m_axi_aclk, m_axi_aresetn, i_wr, i_din, i_strb, i_addrin, m_axi_awready, m_axi_wready, m_axi_bvalid, m_axi_bresp</x:v>
      </x:c>
      <x:c r="F684" s="4" t="str">
        <x:v>m_axi_awvalid, m_axi_awaddr, m_axi_wvalid, m_axi_wdata, m_axi_wstrb, m_axi_bready</x:v>
      </x:c>
      <x:c r="G684" s="4" t="str">
        <x:v>RA-016</x:v>
      </x:c>
      <x:c r="H684" s="25" t="str">
        <x:v>https://github.com/kapiltrip/RevisionAtlas/blob/2f827008d725333643a78e6c31935ab24cb4e6b7/Protocols/04%20AMBA/03%20AXI/Code/Section%2005%20-%20AXI-Lite%20Single%20Beat%20without%20Pipeline/Lessons%20068-072%20-%20AXI%20Protocol%20Checker/rtl/p_m_axi.sv</x:v>
      </x:c>
      <x:c r="I684" s="4" t="str">
        <x:v>2f827008d725333643a78e6c31935ab24cb4e6b7</x:v>
      </x:c>
    </x:row>
    <x:row r="685" ht="68" customHeight="1">
      <x:c r="A685" s="15" t="str">
        <x:v>RevisionAtlas</x:v>
      </x:c>
      <x:c r="B685" s="15" t="str">
        <x:v>Protocols/04 AMBA/03 AXI/Code/Section 05 - AXI-Lite Single Beat without Pipeline/Lessons 068-072 - AXI Protocol Checker/rtl/p_s_axi.sv</x:v>
      </x:c>
      <x:c r="C685" s="15" t="str">
        <x:v>RTL</x:v>
      </x:c>
      <x:c r="D685" s="15" t="str">
        <x:v>p_s_axi</x:v>
      </x:c>
      <x:c r="E685" s="15" t="str">
        <x:v>s_axi_aclk, s_axi_aresetn, s_axi_awvalid, s_axi_awaddr, s_axi_wvalid, s_axi_wdata, s_axi_wstrb, s_axi_bready</x:v>
      </x:c>
      <x:c r="F685" s="15" t="str">
        <x:v>s_axi_awready, s_axi_wready, s_axi_bvalid, s_axi_bresp</x:v>
      </x:c>
      <x:c r="G685" s="15" t="str">
        <x:v>RA-017</x:v>
      </x:c>
      <x:c r="H685" s="26" t="str">
        <x:v>https://github.com/kapiltrip/RevisionAtlas/blob/2f827008d725333643a78e6c31935ab24cb4e6b7/Protocols/04%20AMBA/03%20AXI/Code/Section%2005%20-%20AXI-Lite%20Single%20Beat%20without%20Pipeline/Lessons%20068-072%20-%20AXI%20Protocol%20Checker/rtl/p_s_axi.sv</x:v>
      </x:c>
      <x:c r="I685" s="15" t="str">
        <x:v>2f827008d725333643a78e6c31935ab24cb4e6b7</x:v>
      </x:c>
    </x:row>
    <x:row r="686" ht="68" customHeight="1">
      <x:c r="A686" s="4" t="str">
        <x:v>RevisionAtlas</x:v>
      </x:c>
      <x:c r="B686" s="4" t="str">
        <x:v>Protocols/04 AMBA/03 AXI/Code/Section 05 - AXI-Lite Single Beat without Pipeline/Lessons 068-072 - AXI Protocol Checker/tb/p_axi_tb.sv</x:v>
      </x:c>
      <x:c r="C686" s="4" t="str">
        <x:v>Existing testbench</x:v>
      </x:c>
      <x:c r="D686" s="4" t="str">
        <x:v>(incomplete/no module)</x:v>
      </x:c>
      <x:c r="E686" s="4" t="str"/>
      <x:c r="F686" s="4" t="str"/>
      <x:c r="G686" s="4" t="str">
        <x:v>Supporting evidence only; map assertions to case IDs before claiming coverage.</x:v>
      </x:c>
      <x:c r="H686" s="25" t="str">
        <x:v>https://github.com/kapiltrip/RevisionAtlas/blob/2f827008d725333643a78e6c31935ab24cb4e6b7/Protocols/04%20AMBA/03%20AXI/Code/Section%2005%20-%20AXI-Lite%20Single%20Beat%20without%20Pipeline/Lessons%20068-072%20-%20AXI%20Protocol%20Checker/tb/p_axi_tb.sv</x:v>
      </x:c>
      <x:c r="I686" s="4" t="str">
        <x:v>2f827008d725333643a78e6c31935ab24cb4e6b7</x:v>
      </x:c>
    </x:row>
    <x:row r="687" ht="82" customHeight="1">
      <x:c r="A687" s="15" t="str">
        <x:v>RevisionAtlas</x:v>
      </x:c>
      <x:c r="B687" s="15" t="str">
        <x:v>Protocols/04 AMBA/03 AXI/Code/Section 05 - AXI-Lite Single Beat without Pipeline/Lessons 073-081 - AXIL Read Only Master and Slave/rtl/p_m_axi.sv</x:v>
      </x:c>
      <x:c r="C687" s="15" t="str">
        <x:v>RTL</x:v>
      </x:c>
      <x:c r="D687" s="15" t="str">
        <x:v>p_m_axi</x:v>
      </x:c>
      <x:c r="E687" s="15" t="str">
        <x:v>m_axi_aclk, m_axi_aresetn, i_wr, i_addrin, m_axi_arready, m_axi_rvalid, m_axi_rdata, m_axi_rresp</x:v>
      </x:c>
      <x:c r="F687" s="15" t="str">
        <x:v>m_axi_arvalid, m_axi_araddr, m_axi_rready, o_rdata, o_resp</x:v>
      </x:c>
      <x:c r="G687" s="15" t="str">
        <x:v>RA-018</x:v>
      </x:c>
      <x:c r="H687" s="26" t="str">
        <x:v>https://github.com/kapiltrip/RevisionAtlas/blob/2f827008d725333643a78e6c31935ab24cb4e6b7/Protocols/04%20AMBA/03%20AXI/Code/Section%2005%20-%20AXI-Lite%20Single%20Beat%20without%20Pipeline/Lessons%20073-081%20-%20AXIL%20Read%20Only%20Master%20and%20Slave/rtl/p_m_axi.sv</x:v>
      </x:c>
      <x:c r="I687" s="15" t="str">
        <x:v>2f827008d725333643a78e6c31935ab24cb4e6b7</x:v>
      </x:c>
    </x:row>
    <x:row r="688" ht="82" customHeight="1">
      <x:c r="A688" s="4" t="str">
        <x:v>RevisionAtlas</x:v>
      </x:c>
      <x:c r="B688" s="4" t="str">
        <x:v>Protocols/04 AMBA/03 AXI/Code/Section 05 - AXI-Lite Single Beat without Pipeline/Lessons 073-081 - AXIL Read Only Master and Slave/rtl/p_s_axi.sv</x:v>
      </x:c>
      <x:c r="C688" s="4" t="str">
        <x:v>RTL</x:v>
      </x:c>
      <x:c r="D688" s="4" t="str">
        <x:v>p_s_axi</x:v>
      </x:c>
      <x:c r="E688" s="4" t="str">
        <x:v>s_axi_aclk, s_axi_aresetn, s_axi_arvalid, s_axi_araddr, s_axi_rready</x:v>
      </x:c>
      <x:c r="F688" s="4" t="str">
        <x:v>s_axi_arready, s_axi_rvalid, s_axi_rdata, s_axi_rresp</x:v>
      </x:c>
      <x:c r="G688" s="4" t="str">
        <x:v>RA-019</x:v>
      </x:c>
      <x:c r="H688" s="25" t="str">
        <x:v>https://github.com/kapiltrip/RevisionAtlas/blob/2f827008d725333643a78e6c31935ab24cb4e6b7/Protocols/04%20AMBA/03%20AXI/Code/Section%2005%20-%20AXI-Lite%20Single%20Beat%20without%20Pipeline/Lessons%20073-081%20-%20AXIL%20Read%20Only%20Master%20and%20Slave/rtl/p_s_axi.sv</x:v>
      </x:c>
      <x:c r="I688" s="4" t="str">
        <x:v>2f827008d725333643a78e6c31935ab24cb4e6b7</x:v>
      </x:c>
    </x:row>
    <x:row r="689" ht="82" customHeight="1">
      <x:c r="A689" s="15" t="str">
        <x:v>RevisionAtlas</x:v>
      </x:c>
      <x:c r="B689" s="15" t="str">
        <x:v>Protocols/04 AMBA/03 AXI/Code/Section 05 - AXI-Lite Single Beat without Pipeline/Lessons 073-081 - AXIL Read Only Master and Slave/rtl/top.sv</x:v>
      </x:c>
      <x:c r="C689" s="15" t="str">
        <x:v>RTL</x:v>
      </x:c>
      <x:c r="D689" s="15" t="str">
        <x:v>top</x:v>
      </x:c>
      <x:c r="E689" s="15" t="str">
        <x:v>i_addrin, i_wr, m_axi_aclk, m_axi_aresetn</x:v>
      </x:c>
      <x:c r="F689" s="15" t="str">
        <x:v>o_rdata, o_resp</x:v>
      </x:c>
      <x:c r="G689" s="15" t="str">
        <x:v>RA-049</x:v>
      </x:c>
      <x:c r="H689" s="26" t="str">
        <x:v>https://github.com/kapiltrip/RevisionAtlas/blob/2f827008d725333643a78e6c31935ab24cb4e6b7/Protocols/04%20AMBA/03%20AXI/Code/Section%2005%20-%20AXI-Lite%20Single%20Beat%20without%20Pipeline/Lessons%20073-081%20-%20AXIL%20Read%20Only%20Master%20and%20Slave/rtl/top.sv</x:v>
      </x:c>
      <x:c r="I689" s="15" t="str">
        <x:v>2f827008d725333643a78e6c31935ab24cb4e6b7</x:v>
      </x:c>
    </x:row>
    <x:row r="690" ht="82" customHeight="1">
      <x:c r="A690" s="4" t="str">
        <x:v>RevisionAtlas</x:v>
      </x:c>
      <x:c r="B690" s="4" t="str">
        <x:v>Protocols/04 AMBA/03 AXI/Code/Section 05 - AXI-Lite Single Beat without Pipeline/Lessons 073-081 - AXIL Read Only Master and Slave/tb/tb.sv</x:v>
      </x:c>
      <x:c r="C690" s="4" t="str">
        <x:v>Existing testbench</x:v>
      </x:c>
      <x:c r="D690" s="4" t="str">
        <x:v>tb</x:v>
      </x:c>
      <x:c r="E690" s="4" t="str"/>
      <x:c r="F690" s="4" t="str"/>
      <x:c r="G690" s="4" t="str">
        <x:v>Supporting evidence only; map assertions to case IDs before claiming coverage.</x:v>
      </x:c>
      <x:c r="H690" s="25" t="str">
        <x:v>https://github.com/kapiltrip/RevisionAtlas/blob/2f827008d725333643a78e6c31935ab24cb4e6b7/Protocols/04%20AMBA/03%20AXI/Code/Section%2005%20-%20AXI-Lite%20Single%20Beat%20without%20Pipeline/Lessons%20073-081%20-%20AXIL%20Read%20Only%20Master%20and%20Slave/tb/tb.sv</x:v>
      </x:c>
      <x:c r="I690" s="4" t="str">
        <x:v>2f827008d725333643a78e6c31935ab24cb4e6b7</x:v>
      </x:c>
    </x:row>
    <x:row r="691" ht="68" customHeight="1">
      <x:c r="A691" s="15" t="str">
        <x:v>RevisionAtlas</x:v>
      </x:c>
      <x:c r="B691" s="15" t="str">
        <x:v>Protocols/04 AMBA/03 AXI/Code/Section 06 - AXI-Lite Combined Read and Write/Lessons 086-093 - AXIL Read Write Master/rtl/axilite_m.sv</x:v>
      </x:c>
      <x:c r="C691" s="15" t="str">
        <x:v>RTL</x:v>
      </x:c>
      <x:c r="D691" s="15" t="str">
        <x:v>axilite_m</x:v>
      </x:c>
      <x:c r="E691" s="15" t="str">
        <x:v>new_tx, wr, waddr, raddr, din, m_axi_aclk, m_axi_aresetn, m_axi_awready, m_axi_wready, m_axi_bvalid, m_axi_bresp, m_axi_arready, m_axi_rvalid, m_axi_rdata, m_axi_rresp</x:v>
      </x:c>
      <x:c r="F691" s="15" t="str">
        <x:v>dout, resp, wr_timeout, rd_timeout, m_axi_awvalid, m_axi_awaddr, m_axi_wvalid, m_axi_wdata, m_axi_wstrb, m_axi_bready, m_axi_arvalid, m_axi_araddr, m_axi_rready</x:v>
      </x:c>
      <x:c r="G691" s="15" t="str">
        <x:v>RA-020, RA-021</x:v>
      </x:c>
      <x:c r="H691" s="26" t="str">
        <x:v>https://github.com/kapiltrip/RevisionAtlas/blob/2f827008d725333643a78e6c31935ab24cb4e6b7/Protocols/04%20AMBA/03%20AXI/Code/Section%2006%20-%20AXI-Lite%20Combined%20Read%20and%20Write/Lessons%20086-093%20-%20AXIL%20Read%20Write%20Master/rtl/axilite_m.sv</x:v>
      </x:c>
      <x:c r="I691" s="15" t="str">
        <x:v>2f827008d725333643a78e6c31935ab24cb4e6b7</x:v>
      </x:c>
    </x:row>
    <x:row r="692" ht="68" customHeight="1">
      <x:c r="A692" s="4" t="str">
        <x:v>RevisionAtlas</x:v>
      </x:c>
      <x:c r="B692" s="4" t="str">
        <x:v>Protocols/04 AMBA/03 AXI/Code/Section 06 - AXI-Lite Combined Read and Write/Lessons 086-093 - AXIL Read Write Master/tb/tb_axilite_m.sv</x:v>
      </x:c>
      <x:c r="C692" s="4" t="str">
        <x:v>Existing testbench</x:v>
      </x:c>
      <x:c r="D692" s="4" t="str">
        <x:v>tb_axilite_m</x:v>
      </x:c>
      <x:c r="E692" s="4" t="str"/>
      <x:c r="F692" s="4" t="str"/>
      <x:c r="G692" s="4" t="str">
        <x:v>Supporting evidence only; map assertions to case IDs before claiming coverage.</x:v>
      </x:c>
      <x:c r="H692" s="25" t="str">
        <x:v>https://github.com/kapiltrip/RevisionAtlas/blob/2f827008d725333643a78e6c31935ab24cb4e6b7/Protocols/04%20AMBA/03%20AXI/Code/Section%2006%20-%20AXI-Lite%20Combined%20Read%20and%20Write/Lessons%20086-093%20-%20AXIL%20Read%20Write%20Master/tb/tb_axilite_m.sv</x:v>
      </x:c>
      <x:c r="I692" s="4" t="str">
        <x:v>2f827008d725333643a78e6c31935ab24cb4e6b7</x:v>
      </x:c>
    </x:row>
    <x:row r="693" ht="68" customHeight="1">
      <x:c r="A693" s="15" t="str">
        <x:v>RevisionAtlas</x:v>
      </x:c>
      <x:c r="B693" s="15" t="str">
        <x:v>Protocols/04 AMBA/03 AXI/Code/Section 07 - AXI-Lite GPIO/Lessons 095-100 - AXIL GPIO/rtl/axilite_s.sv</x:v>
      </x:c>
      <x:c r="C693" s="15" t="str">
        <x:v>RTL</x:v>
      </x:c>
      <x:c r="D693" s="15" t="str">
        <x:v>axilite_s</x:v>
      </x:c>
      <x:c r="E693" s="15" t="str">
        <x:v>s_axi_aclk, s_axi_aresetn, s_axi_awvalid, s_axi_awaddr, s_axi_wvalid, s_axi_wdata, s_axi_wstrb, s_axi_bready, s_axi_arvalid, s_axi_araddr, s_axi_rready, sw</x:v>
      </x:c>
      <x:c r="F693" s="15" t="str">
        <x:v>s_axi_awready, s_axi_wready, s_axi_bid, s_axi_bvalid, s_axi_bresp, s_axi_arready, s_axi_rvalid, s_axi_rdata, s_axi_rresp, led</x:v>
      </x:c>
      <x:c r="G693" s="15" t="str">
        <x:v>RA-022, RA-023</x:v>
      </x:c>
      <x:c r="H693" s="26" t="str">
        <x:v>https://github.com/kapiltrip/RevisionAtlas/blob/2f827008d725333643a78e6c31935ab24cb4e6b7/Protocols/04%20AMBA/03%20AXI/Code/Section%2007%20-%20AXI-Lite%20GPIO/Lessons%20095-100%20-%20AXIL%20GPIO/rtl/axilite_s.sv</x:v>
      </x:c>
      <x:c r="I693" s="15" t="str">
        <x:v>2f827008d725333643a78e6c31935ab24cb4e6b7</x:v>
      </x:c>
    </x:row>
    <x:row r="694" ht="68" customHeight="1">
      <x:c r="A694" s="4" t="str">
        <x:v>RevisionAtlas</x:v>
      </x:c>
      <x:c r="B694" s="4" t="str">
        <x:v>Protocols/04 AMBA/03 AXI/Code/Section 07 - AXI-Lite GPIO/Lessons 095-100 - AXIL GPIO/tb/tb_axi_gpio_slave.sv</x:v>
      </x:c>
      <x:c r="C694" s="4" t="str">
        <x:v>Existing testbench</x:v>
      </x:c>
      <x:c r="D694" s="4" t="str">
        <x:v>tb_axi_gpio_slave</x:v>
      </x:c>
      <x:c r="E694" s="4" t="str"/>
      <x:c r="F694" s="4" t="str"/>
      <x:c r="G694" s="4" t="str">
        <x:v>Supporting evidence only; map assertions to case IDs before claiming coverage.</x:v>
      </x:c>
      <x:c r="H694" s="25" t="str">
        <x:v>https://github.com/kapiltrip/RevisionAtlas/blob/2f827008d725333643a78e6c31935ab24cb4e6b7/Protocols/04%20AMBA/03%20AXI/Code/Section%2007%20-%20AXI-Lite%20GPIO/Lessons%20095-100%20-%20AXIL%20GPIO/tb/tb_axi_gpio_slave.sv</x:v>
      </x:c>
      <x:c r="I694" s="4" t="str">
        <x:v>2f827008d725333643a78e6c31935ab24cb4e6b7</x:v>
      </x:c>
    </x:row>
    <x:row r="695" ht="124" customHeight="1">
      <x:c r="A695" s="15" t="str">
        <x:v>RevisionAtlas</x:v>
      </x:c>
      <x:c r="B695" s="15" t="str">
        <x:v>Protocols/04 AMBA/03 AXI/Code/Section 08 - AXI4 Single Beat/Lessons 103-112 - AXI4 Single Beat Master and Slave/rtl/axi4_slave.sv</x:v>
      </x:c>
      <x:c r="C695" s="15" t="str">
        <x:v>RTL</x:v>
      </x:c>
      <x:c r="D695" s="15" t="str">
        <x:v>axi4_slave</x:v>
      </x:c>
      <x:c r="E695" s="15" t="str">
        <x:v>s_axi_aclk, s_axi_aresetn, s_axi_awid, s_axi_awvalid, s_axi_awaddr, s_axi_awlen, s_axi_awsize, s_axi_awburst, s_axi_awlock, s_axi_awcache, s_axi_awprot, s_axi_awqos, s_axi_awuser, s_axi_wid, s_axi_wvalid, s_axi_wdata, s_axi_wstrb, s_axi_wlast, s_axi_bready, s_axi_arid, s_axi_arvalid, s_axi_araddr, s_axi_arlen, s_axi_arsize, s_axi_arburst, s_axi_arlock, s_axi_arcache, s_axi_arprot, s_axi_arqos, s_axi_aruser, s_axi_rready</x:v>
      </x:c>
      <x:c r="F695" s="15" t="str">
        <x:v>s_axi_awready, s_axi_wready, s_axi_bid, s_axi_bvalid, s_axi_bresp, s_axi_arready, s_axi_rid, s_axi_rvalid, s_axi_rdata, s_axi_rlast, s_axi_rresp</x:v>
      </x:c>
      <x:c r="G695" s="15" t="str">
        <x:v>RA-024, RA-025, RA-026</x:v>
      </x:c>
      <x:c r="H695" s="26" t="str">
        <x:v>https://github.com/kapiltrip/RevisionAtlas/blob/2f827008d725333643a78e6c31935ab24cb4e6b7/Protocols/04%20AMBA/03%20AXI/Code/Section%2008%20-%20AXI4%20Single%20Beat/Lessons%20103-112%20-%20AXI4%20Single%20Beat%20Master%20and%20Slave/rtl/axi4_slave.sv</x:v>
      </x:c>
      <x:c r="I695" s="15" t="str">
        <x:v>2f827008d725333643a78e6c31935ab24cb4e6b7</x:v>
      </x:c>
    </x:row>
    <x:row r="696" ht="124" customHeight="1">
      <x:c r="A696" s="4" t="str">
        <x:v>RevisionAtlas</x:v>
      </x:c>
      <x:c r="B696" s="4" t="str">
        <x:v>Protocols/04 AMBA/03 AXI/Code/Section 08 - AXI4 Single Beat/Lessons 103-112 - AXI4 Single Beat Master and Slave/rtl/axi_master.sv</x:v>
      </x:c>
      <x:c r="C696" s="4" t="str">
        <x:v>RTL</x:v>
      </x:c>
      <x:c r="D696" s="4" t="str">
        <x:v>axi_master</x:v>
      </x:c>
      <x:c r="E696" s="4" t="str">
        <x:v>m_axi_aclk, m_axi_aresetn, m_axi_awready, m_axi_wready, m_axi_bid, m_axi_bresp, m_axi_bvalid, m_axi_arready, m_axi_rid, m_axi_rdata, m_axi_rresp, m_axi_rlast, m_axi_rvalid, wr, wr_addr, wr_burst_len, wr_burst_type, wr_din, wr_strbin, rd_addr, rd_burst_len, rd_burst_type</x:v>
      </x:c>
      <x:c r="F696" s="4" t="str">
        <x:v>m_axi_awid, m_axi_awaddr, m_axi_awsize, m_axi_awburst, m_axi_awlen, m_axi_awlock, m_axi_awcache, m_axi_awprot, m_axi_awqos, m_axi_awuser, m_axi_awvalid, m_axi_wid, m_axi_wdata, m_axi_wstrb, m_axi_wlast, m_axi_wvalid, m_axi_bready, m_axi_arid, m_axi_araddr, m_axi_arlen, m_axi_arsize, m_axi_arburst, m_axi_arlock, m_axi_arcache, m_axi_arprot, m_axi_arqos, m_axi_aruser, m_axi_arvalid, m_axi_rready, rout, resp</x:v>
      </x:c>
      <x:c r="G696" s="4" t="str">
        <x:v>RA-027, RA-028, RA-029</x:v>
      </x:c>
      <x:c r="H696" s="25" t="str">
        <x:v>https://github.com/kapiltrip/RevisionAtlas/blob/2f827008d725333643a78e6c31935ab24cb4e6b7/Protocols/04%20AMBA/03%20AXI/Code/Section%2008%20-%20AXI4%20Single%20Beat/Lessons%20103-112%20-%20AXI4%20Single%20Beat%20Master%20and%20Slave/rtl/axi_master.sv</x:v>
      </x:c>
      <x:c r="I696" s="4" t="str">
        <x:v>2f827008d725333643a78e6c31935ab24cb4e6b7</x:v>
      </x:c>
    </x:row>
    <x:row r="697" ht="68" customHeight="1">
      <x:c r="A697" s="15" t="str">
        <x:v>RevisionAtlas</x:v>
      </x:c>
      <x:c r="B697" s="15" t="str">
        <x:v>Protocols/04 AMBA/03 AXI/Code/Section 08 - AXI4 Single Beat/Lessons 103-112 - AXI4 Single Beat Master and Slave/rtl/connect_m_s.sv</x:v>
      </x:c>
      <x:c r="C697" s="15" t="str">
        <x:v>RTL</x:v>
      </x:c>
      <x:c r="D697" s="15" t="str">
        <x:v>connect_m_s</x:v>
      </x:c>
      <x:c r="E697" s="15" t="str">
        <x:v>clk, resetn, wr, wr_addr, wr_burst_len, wr_burst_type, wr_din, wr_strbin, rd_addr, rd_burst_len, rd_burst_type</x:v>
      </x:c>
      <x:c r="F697" s="15" t="str">
        <x:v>rout, resp, pc_status, pc_asserted</x:v>
      </x:c>
      <x:c r="G697" s="15" t="str">
        <x:v>RA-036</x:v>
      </x:c>
      <x:c r="H697" s="26" t="str">
        <x:v>https://github.com/kapiltrip/RevisionAtlas/blob/2f827008d725333643a78e6c31935ab24cb4e6b7/Protocols/04%20AMBA/03%20AXI/Code/Section%2008%20-%20AXI4%20Single%20Beat/Lessons%20103-112%20-%20AXI4%20Single%20Beat%20Master%20and%20Slave/rtl/connect_m_s.sv</x:v>
      </x:c>
      <x:c r="I697" s="15" t="str">
        <x:v>2f827008d725333643a78e6c31935ab24cb4e6b7</x:v>
      </x:c>
    </x:row>
    <x:row r="698" ht="68" customHeight="1">
      <x:c r="A698" s="4" t="str">
        <x:v>RevisionAtlas</x:v>
      </x:c>
      <x:c r="B698" s="4" t="str">
        <x:v>Protocols/04 AMBA/03 AXI/Code/Section 08 - AXI4 Single Beat/Lessons 103-112 - AXI4 Single Beat Master and Slave/tb/tb_connect_m_s.sv</x:v>
      </x:c>
      <x:c r="C698" s="4" t="str">
        <x:v>Existing testbench</x:v>
      </x:c>
      <x:c r="D698" s="4" t="str">
        <x:v>tb_connect_m_s</x:v>
      </x:c>
      <x:c r="E698" s="4" t="str"/>
      <x:c r="F698" s="4" t="str"/>
      <x:c r="G698" s="4" t="str">
        <x:v>Supporting evidence only; map assertions to case IDs before claiming coverage.</x:v>
      </x:c>
      <x:c r="H698" s="25" t="str">
        <x:v>https://github.com/kapiltrip/RevisionAtlas/blob/2f827008d725333643a78e6c31935ab24cb4e6b7/Protocols/04%20AMBA/03%20AXI/Code/Section%2008%20-%20AXI4%20Single%20Beat/Lessons%20103-112%20-%20AXI4%20Single%20Beat%20Master%20and%20Slave/tb/tb_connect_m_s.sv</x:v>
      </x:c>
      <x:c r="I698" s="4" t="str">
        <x:v>2f827008d725333643a78e6c31935ab24cb4e6b7</x:v>
      </x:c>
    </x:row>
    <x:row r="699" ht="124" customHeight="1">
      <x:c r="A699" s="15" t="str">
        <x:v>RevisionAtlas</x:v>
      </x:c>
      <x:c r="B699" s="15" t="str">
        <x:v>Protocols/04 AMBA/03 AXI/Code/Section 09 - AXI4 Burst Modes/Lessons 115-128 - AXI4 Burst Master and Slave/rtl/axi4_slave.sv</x:v>
      </x:c>
      <x:c r="C699" s="15" t="str">
        <x:v>RTL</x:v>
      </x:c>
      <x:c r="D699" s="15" t="str">
        <x:v>axi4_slave</x:v>
      </x:c>
      <x:c r="E699" s="15" t="str">
        <x:v>s_axi_aclk, s_axi_aresetn, s_axi_awid, s_axi_awvalid, s_axi_awaddr, s_axi_awlen, s_axi_awsize, s_axi_awburst, s_axi_awlock, s_axi_awcache, s_axi_awprot, s_axi_awqos, s_axi_awuser, s_axi_wid, s_axi_wvalid, s_axi_wdata, s_axi_wstrb, s_axi_wlast, s_axi_bready, s_axi_arid, s_axi_arvalid, s_axi_araddr, s_axi_arlen, s_axi_arsize, s_axi_arburst, s_axi_arlock, s_axi_arcache, s_axi_arprot, s_axi_arqos, s_axi_aruser, s_axi_rready</x:v>
      </x:c>
      <x:c r="F699" s="15" t="str">
        <x:v>s_axi_awready, s_axi_wready, s_axi_bid, s_axi_bvalid, s_axi_bresp, s_axi_arready, s_axi_rid, s_axi_rvalid, s_axi_rdata, s_axi_rlast, s_axi_rresp</x:v>
      </x:c>
      <x:c r="G699" s="15" t="str">
        <x:v>RA-030, RA-031, RA-032</x:v>
      </x:c>
      <x:c r="H699" s="26" t="str">
        <x:v>https://github.com/kapiltrip/RevisionAtlas/blob/2f827008d725333643a78e6c31935ab24cb4e6b7/Protocols/04%20AMBA/03%20AXI/Code/Section%2009%20-%20AXI4%20Burst%20Modes/Lessons%20115-128%20-%20AXI4%20Burst%20Master%20and%20Slave/rtl/axi4_slave.sv</x:v>
      </x:c>
      <x:c r="I699" s="15" t="str">
        <x:v>2f827008d725333643a78e6c31935ab24cb4e6b7</x:v>
      </x:c>
    </x:row>
    <x:row r="700" ht="124" customHeight="1">
      <x:c r="A700" s="4" t="str">
        <x:v>RevisionAtlas</x:v>
      </x:c>
      <x:c r="B700" s="4" t="str">
        <x:v>Protocols/04 AMBA/03 AXI/Code/Section 09 - AXI4 Burst Modes/Lessons 115-128 - AXI4 Burst Master and Slave/rtl/axi_master.sv</x:v>
      </x:c>
      <x:c r="C700" s="4" t="str">
        <x:v>RTL</x:v>
      </x:c>
      <x:c r="D700" s="4" t="str">
        <x:v>axi_master</x:v>
      </x:c>
      <x:c r="E700" s="4" t="str">
        <x:v>m_axi_aclk, m_axi_aresetn, m_axi_awready, m_axi_wready, m_axi_bid, m_axi_bresp, m_axi_bvalid, m_axi_arready, m_axi_rid, m_axi_rdata, m_axi_rresp, m_axi_rlast, m_axi_rvalid, wr, wr_addr, wr_burst_len, wr_burst_type, wr_din, wr_strbin, rd_addr, rd_burst_len, rd_burst_type</x:v>
      </x:c>
      <x:c r="F700" s="4" t="str">
        <x:v>m_axi_awid, m_axi_awaddr, m_axi_awsize, m_axi_awburst, m_axi_awlen, m_axi_awlock, m_axi_awcache, m_axi_awprot, m_axi_awqos, m_axi_awuser, m_axi_awvalid, m_axi_wid, m_axi_wdata, m_axi_wstrb, m_axi_wlast, m_axi_wvalid, m_axi_bready, m_axi_arid, m_axi_araddr, m_axi_arlen, m_axi_arsize, m_axi_arburst, m_axi_arlock, m_axi_arcache, m_axi_arprot, m_axi_arqos, m_axi_aruser, m_axi_arvalid, m_axi_rready, rout, resp</x:v>
      </x:c>
      <x:c r="G700" s="4" t="str">
        <x:v>RA-033, RA-034, RA-035</x:v>
      </x:c>
      <x:c r="H700" s="25" t="str">
        <x:v>https://github.com/kapiltrip/RevisionAtlas/blob/2f827008d725333643a78e6c31935ab24cb4e6b7/Protocols/04%20AMBA/03%20AXI/Code/Section%2009%20-%20AXI4%20Burst%20Modes/Lessons%20115-128%20-%20AXI4%20Burst%20Master%20and%20Slave/rtl/axi_master.sv</x:v>
      </x:c>
      <x:c r="I700" s="4" t="str">
        <x:v>2f827008d725333643a78e6c31935ab24cb4e6b7</x:v>
      </x:c>
    </x:row>
    <x:row r="701" ht="68" customHeight="1">
      <x:c r="A701" s="15" t="str">
        <x:v>RevisionAtlas</x:v>
      </x:c>
      <x:c r="B701" s="15" t="str">
        <x:v>Protocols/04 AMBA/03 AXI/Code/Section 09 - AXI4 Burst Modes/Lessons 115-128 - AXI4 Burst Master and Slave/rtl/connect_m_s.sv</x:v>
      </x:c>
      <x:c r="C701" s="15" t="str">
        <x:v>RTL</x:v>
      </x:c>
      <x:c r="D701" s="15" t="str">
        <x:v>connect_m_s</x:v>
      </x:c>
      <x:c r="E701" s="15" t="str">
        <x:v>clk, resetn, wr, wr_addr, wr_burst_len, wr_burst_type, wr_din, wr_strbin, rd_addr, rd_burst_len, rd_burst_type</x:v>
      </x:c>
      <x:c r="F701" s="15" t="str">
        <x:v>rout, resp, pc_status, pc_asserted</x:v>
      </x:c>
      <x:c r="G701" s="15" t="str">
        <x:v>RA-037</x:v>
      </x:c>
      <x:c r="H701" s="26" t="str">
        <x:v>https://github.com/kapiltrip/RevisionAtlas/blob/2f827008d725333643a78e6c31935ab24cb4e6b7/Protocols/04%20AMBA/03%20AXI/Code/Section%2009%20-%20AXI4%20Burst%20Modes/Lessons%20115-128%20-%20AXI4%20Burst%20Master%20and%20Slave/rtl/connect_m_s.sv</x:v>
      </x:c>
      <x:c r="I701" s="15" t="str">
        <x:v>2f827008d725333643a78e6c31935ab24cb4e6b7</x:v>
      </x:c>
    </x:row>
    <x:row r="702" ht="68" customHeight="1">
      <x:c r="A702" s="4" t="str">
        <x:v>RevisionAtlas</x:v>
      </x:c>
      <x:c r="B702" s="4" t="str">
        <x:v>Protocols/04 AMBA/03 AXI/Code/Section 09 - AXI4 Burst Modes/Lessons 115-128 - AXI4 Burst Master and Slave/tb/tb_connect_m_s.sv</x:v>
      </x:c>
      <x:c r="C702" s="4" t="str">
        <x:v>Existing testbench</x:v>
      </x:c>
      <x:c r="D702" s="4" t="str">
        <x:v>tb_connect_m_s</x:v>
      </x:c>
      <x:c r="E702" s="4" t="str"/>
      <x:c r="F702" s="4" t="str"/>
      <x:c r="G702" s="4" t="str">
        <x:v>Supporting evidence only; map assertions to case IDs before claiming coverage.</x:v>
      </x:c>
      <x:c r="H702" s="25" t="str">
        <x:v>https://github.com/kapiltrip/RevisionAtlas/blob/2f827008d725333643a78e6c31935ab24cb4e6b7/Protocols/04%20AMBA/03%20AXI/Code/Section%2009%20-%20AXI4%20Burst%20Modes/Lessons%20115-128%20-%20AXI4%20Burst%20Master%20and%20Slave/tb/tb_connect_m_s.sv</x:v>
      </x:c>
      <x:c r="I702" s="4" t="str">
        <x:v>2f827008d725333643a78e6c31935ab24cb4e6b7</x:v>
      </x:c>
    </x:row>
  </x:sheetData>
  <x:mergeCells>
    <x:mergeCell ref="A1:G2"/>
    <x:mergeCell ref="A3:G3"/>
    <x:mergeCell ref="A4:G4"/>
  </x:mergeCells>
  <x:pageMargins left="0.7" right="0.7" top="0.75" bottom="0.75" header="0.3" footer="0.3"/>
  <x:tableParts count="1">
    <x:tablePart xmlns:r="http://schemas.openxmlformats.org/officeDocument/2006/relationships" r:id="R67945366a73c4104"/>
  </x:tableParts>
</x:worksheet>
</file>